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ipu\Desktop\Zakat-LogBook\"/>
    </mc:Choice>
  </mc:AlternateContent>
  <xr:revisionPtr revIDLastSave="0" documentId="8_{48758BD0-1EC2-4E6D-8762-C4F6A0079699}" xr6:coauthVersionLast="47" xr6:coauthVersionMax="47" xr10:uidLastSave="{00000000-0000-0000-0000-000000000000}"/>
  <bookViews>
    <workbookView xWindow="-110" yWindow="-110" windowWidth="33220" windowHeight="21100" xr2:uid="{00000000-000D-0000-FFFF-FFFF00000000}"/>
  </bookViews>
  <sheets>
    <sheet name="Guide" sheetId="1" r:id="rId1"/>
    <sheet name="Settings" sheetId="2" r:id="rId2"/>
    <sheet name="Zakat Summary" sheetId="3" r:id="rId3"/>
    <sheet name="Stocks" sheetId="4" r:id="rId4"/>
    <sheet name="Cash" sheetId="5" r:id="rId5"/>
    <sheet name="Debts" sheetId="6" r:id="rId6"/>
    <sheet name="Ledger" sheetId="7" r:id="rId7"/>
    <sheet name="Reports" sheetId="8" r:id="rId8"/>
  </sheets>
  <definedNames>
    <definedName name="_xlnm._FilterDatabase" localSheetId="4" hidden="1">Cash!$A$3:$H$13</definedName>
    <definedName name="_xlnm._FilterDatabase" localSheetId="5" hidden="1">Debts!$A$3:$H$13</definedName>
    <definedName name="_xlnm._FilterDatabase" localSheetId="6" hidden="1">Ledger!$A$5:$I$205</definedName>
    <definedName name="_xlnm._FilterDatabase" localSheetId="3" hidden="1">Stocks!$A$3:$H$13</definedName>
    <definedName name="_xlnm._FilterDatabase" localSheetId="2" hidden="1">'Zakat Summary'!$A$3:$N$14</definedName>
    <definedName name="_xlnm.Print_Area" localSheetId="4">Cash!$A$1:$H$13</definedName>
    <definedName name="_xlnm.Print_Area" localSheetId="5">Debts!$A$1:$H$13</definedName>
    <definedName name="_xlnm.Print_Area" localSheetId="6">Ledger!$A$1:$I$210</definedName>
    <definedName name="_xlnm.Print_Area" localSheetId="7">Reports!$A$1:$I$176</definedName>
    <definedName name="_xlnm.Print_Area" localSheetId="3">Stocks!$A$1:$H$13</definedName>
    <definedName name="_xlnm.Print_Area" localSheetId="2">'Zakat Summary'!$A$1:$N$25</definedName>
    <definedName name="_xlnm.Print_Titles" localSheetId="4">Cash!$1:$3</definedName>
    <definedName name="_xlnm.Print_Titles" localSheetId="5">Debts!$1:$3</definedName>
    <definedName name="_xlnm.Print_Titles" localSheetId="6">Ledger!$1:$5</definedName>
    <definedName name="_xlnm.Print_Titles" localSheetId="7">Reports!$1:$5</definedName>
    <definedName name="_xlnm.Print_Titles" localSheetId="3">Stocks!$1:$3</definedName>
    <definedName name="_xlnm.Print_Titles" localSheetId="2">'Zakat Summary'!$1:$4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5" i="8" l="1"/>
  <c r="F175" i="8"/>
  <c r="D175" i="8"/>
  <c r="A175" i="8"/>
  <c r="H174" i="8"/>
  <c r="F174" i="8"/>
  <c r="D174" i="8"/>
  <c r="A174" i="8"/>
  <c r="H173" i="8"/>
  <c r="F173" i="8"/>
  <c r="D173" i="8"/>
  <c r="A173" i="8"/>
  <c r="H172" i="8"/>
  <c r="F172" i="8"/>
  <c r="D172" i="8"/>
  <c r="A172" i="8"/>
  <c r="H171" i="8"/>
  <c r="F171" i="8"/>
  <c r="D171" i="8"/>
  <c r="A171" i="8"/>
  <c r="H170" i="8"/>
  <c r="F170" i="8"/>
  <c r="D170" i="8"/>
  <c r="A170" i="8"/>
  <c r="H169" i="8"/>
  <c r="F169" i="8"/>
  <c r="D169" i="8"/>
  <c r="A169" i="8"/>
  <c r="H168" i="8"/>
  <c r="F168" i="8"/>
  <c r="D168" i="8"/>
  <c r="A168" i="8"/>
  <c r="H167" i="8"/>
  <c r="F167" i="8"/>
  <c r="D167" i="8"/>
  <c r="A167" i="8"/>
  <c r="H166" i="8"/>
  <c r="F166" i="8"/>
  <c r="D166" i="8"/>
  <c r="A166" i="8"/>
  <c r="H165" i="8"/>
  <c r="F165" i="8"/>
  <c r="D165" i="8"/>
  <c r="A165" i="8"/>
  <c r="H164" i="8"/>
  <c r="F164" i="8"/>
  <c r="D164" i="8"/>
  <c r="A164" i="8"/>
  <c r="H163" i="8"/>
  <c r="F163" i="8"/>
  <c r="D163" i="8"/>
  <c r="A163" i="8"/>
  <c r="H162" i="8"/>
  <c r="F162" i="8"/>
  <c r="D162" i="8"/>
  <c r="A162" i="8"/>
  <c r="H161" i="8"/>
  <c r="F161" i="8"/>
  <c r="D161" i="8"/>
  <c r="A161" i="8"/>
  <c r="H160" i="8"/>
  <c r="F160" i="8"/>
  <c r="D160" i="8"/>
  <c r="A160" i="8"/>
  <c r="H159" i="8"/>
  <c r="F159" i="8"/>
  <c r="D159" i="8"/>
  <c r="A159" i="8"/>
  <c r="H158" i="8"/>
  <c r="F158" i="8"/>
  <c r="D158" i="8"/>
  <c r="A158" i="8"/>
  <c r="H157" i="8"/>
  <c r="F157" i="8"/>
  <c r="D157" i="8"/>
  <c r="A157" i="8"/>
  <c r="H156" i="8"/>
  <c r="F156" i="8"/>
  <c r="D156" i="8"/>
  <c r="A156" i="8"/>
  <c r="H155" i="8"/>
  <c r="F155" i="8"/>
  <c r="D155" i="8"/>
  <c r="A155" i="8"/>
  <c r="H154" i="8"/>
  <c r="F154" i="8"/>
  <c r="D154" i="8"/>
  <c r="A154" i="8"/>
  <c r="H153" i="8"/>
  <c r="F153" i="8"/>
  <c r="D153" i="8"/>
  <c r="A153" i="8"/>
  <c r="H152" i="8"/>
  <c r="F152" i="8"/>
  <c r="D152" i="8"/>
  <c r="A152" i="8"/>
  <c r="H151" i="8"/>
  <c r="F151" i="8"/>
  <c r="D151" i="8"/>
  <c r="A151" i="8"/>
  <c r="H150" i="8"/>
  <c r="F150" i="8"/>
  <c r="D150" i="8"/>
  <c r="A150" i="8"/>
  <c r="H149" i="8"/>
  <c r="F149" i="8"/>
  <c r="D149" i="8"/>
  <c r="A149" i="8"/>
  <c r="H148" i="8"/>
  <c r="F148" i="8"/>
  <c r="D148" i="8"/>
  <c r="A148" i="8"/>
  <c r="H147" i="8"/>
  <c r="F147" i="8"/>
  <c r="D147" i="8"/>
  <c r="A147" i="8"/>
  <c r="H146" i="8"/>
  <c r="F146" i="8"/>
  <c r="D146" i="8"/>
  <c r="A146" i="8"/>
  <c r="L140" i="8"/>
  <c r="L139" i="8"/>
  <c r="L138" i="8"/>
  <c r="L137" i="8"/>
  <c r="L136" i="8"/>
  <c r="L135" i="8"/>
  <c r="L134" i="8"/>
  <c r="L133" i="8"/>
  <c r="L132" i="8"/>
  <c r="L131" i="8"/>
  <c r="L130" i="8"/>
  <c r="L129" i="8"/>
  <c r="L128" i="8"/>
  <c r="L127" i="8"/>
  <c r="L126" i="8"/>
  <c r="L125" i="8"/>
  <c r="L124" i="8"/>
  <c r="L123" i="8"/>
  <c r="L122" i="8"/>
  <c r="L121" i="8"/>
  <c r="L120" i="8"/>
  <c r="I120" i="8"/>
  <c r="H120" i="8"/>
  <c r="G120" i="8"/>
  <c r="F120" i="8"/>
  <c r="E120" i="8"/>
  <c r="L119" i="8"/>
  <c r="L118" i="8"/>
  <c r="L117" i="8"/>
  <c r="L116" i="8"/>
  <c r="L115" i="8"/>
  <c r="L114" i="8"/>
  <c r="L113" i="8"/>
  <c r="L112" i="8"/>
  <c r="L111" i="8"/>
  <c r="L110" i="8"/>
  <c r="L109" i="8"/>
  <c r="L108" i="8"/>
  <c r="L107" i="8"/>
  <c r="L106" i="8"/>
  <c r="L105" i="8"/>
  <c r="L104" i="8"/>
  <c r="L103" i="8"/>
  <c r="L102" i="8"/>
  <c r="L101" i="8"/>
  <c r="L100" i="8"/>
  <c r="B100" i="8"/>
  <c r="L99" i="8"/>
  <c r="L98" i="8"/>
  <c r="L97" i="8"/>
  <c r="L96" i="8"/>
  <c r="L95" i="8"/>
  <c r="L94" i="8"/>
  <c r="L93" i="8"/>
  <c r="L92" i="8"/>
  <c r="L91" i="8"/>
  <c r="L90" i="8"/>
  <c r="L89" i="8"/>
  <c r="L88" i="8"/>
  <c r="L87" i="8"/>
  <c r="L86" i="8"/>
  <c r="L85" i="8"/>
  <c r="L84" i="8"/>
  <c r="L83" i="8"/>
  <c r="L82" i="8"/>
  <c r="L81" i="8"/>
  <c r="L80" i="8"/>
  <c r="L79" i="8"/>
  <c r="L78" i="8"/>
  <c r="L77" i="8"/>
  <c r="L76" i="8"/>
  <c r="L75" i="8"/>
  <c r="I75" i="8"/>
  <c r="L74" i="8"/>
  <c r="L73" i="8"/>
  <c r="L72" i="8"/>
  <c r="L71" i="8"/>
  <c r="L70" i="8"/>
  <c r="L69" i="8"/>
  <c r="L68" i="8"/>
  <c r="L67" i="8"/>
  <c r="L66" i="8"/>
  <c r="L65" i="8"/>
  <c r="L64" i="8"/>
  <c r="I64" i="8"/>
  <c r="H64" i="8"/>
  <c r="G64" i="8"/>
  <c r="L63" i="8"/>
  <c r="L62" i="8"/>
  <c r="L61" i="8"/>
  <c r="L60" i="8"/>
  <c r="L59" i="8"/>
  <c r="L58" i="8"/>
  <c r="L57" i="8"/>
  <c r="L56" i="8"/>
  <c r="L55" i="8"/>
  <c r="L54" i="8"/>
  <c r="L53" i="8"/>
  <c r="L52" i="8"/>
  <c r="L51" i="8"/>
  <c r="L50" i="8"/>
  <c r="L49" i="8"/>
  <c r="L48" i="8"/>
  <c r="L47" i="8"/>
  <c r="L46" i="8"/>
  <c r="L45" i="8"/>
  <c r="L44" i="8"/>
  <c r="L43" i="8"/>
  <c r="L42" i="8"/>
  <c r="L41" i="8"/>
  <c r="F39" i="8"/>
  <c r="F37" i="8"/>
  <c r="A37" i="8"/>
  <c r="F36" i="8"/>
  <c r="A36" i="8"/>
  <c r="F35" i="8"/>
  <c r="A35" i="8"/>
  <c r="F34" i="8"/>
  <c r="A34" i="8"/>
  <c r="F33" i="8"/>
  <c r="A33" i="8"/>
  <c r="F32" i="8"/>
  <c r="A32" i="8"/>
  <c r="F31" i="8"/>
  <c r="A31" i="8"/>
  <c r="F30" i="8"/>
  <c r="A30" i="8"/>
  <c r="F29" i="8"/>
  <c r="A29" i="8"/>
  <c r="F28" i="8"/>
  <c r="A28" i="8"/>
  <c r="F27" i="8"/>
  <c r="A27" i="8"/>
  <c r="F26" i="8"/>
  <c r="A26" i="8"/>
  <c r="F25" i="8"/>
  <c r="A25" i="8"/>
  <c r="F24" i="8"/>
  <c r="A24" i="8"/>
  <c r="F23" i="8"/>
  <c r="A23" i="8"/>
  <c r="F22" i="8"/>
  <c r="A22" i="8"/>
  <c r="F21" i="8"/>
  <c r="A21" i="8"/>
  <c r="F20" i="8"/>
  <c r="A20" i="8"/>
  <c r="F19" i="8"/>
  <c r="A19" i="8"/>
  <c r="F18" i="8"/>
  <c r="A18" i="8"/>
  <c r="F17" i="8"/>
  <c r="A17" i="8"/>
  <c r="F16" i="8"/>
  <c r="A16" i="8"/>
  <c r="F15" i="8"/>
  <c r="A15" i="8"/>
  <c r="F14" i="8"/>
  <c r="A14" i="8"/>
  <c r="F13" i="8"/>
  <c r="A13" i="8"/>
  <c r="F12" i="8"/>
  <c r="A12" i="8"/>
  <c r="F11" i="8"/>
  <c r="A11" i="8"/>
  <c r="F10" i="8"/>
  <c r="A10" i="8"/>
  <c r="F9" i="8"/>
  <c r="A9" i="8"/>
  <c r="F8" i="8"/>
  <c r="A8" i="8"/>
  <c r="K4" i="8"/>
  <c r="I4" i="8"/>
  <c r="F4" i="8"/>
  <c r="H205" i="7"/>
  <c r="I205" i="7" s="1"/>
  <c r="H204" i="7"/>
  <c r="I204" i="7" s="1"/>
  <c r="H203" i="7"/>
  <c r="I203" i="7" s="1"/>
  <c r="H202" i="7"/>
  <c r="I202" i="7" s="1"/>
  <c r="H201" i="7"/>
  <c r="I201" i="7" s="1"/>
  <c r="H200" i="7"/>
  <c r="I200" i="7" s="1"/>
  <c r="H199" i="7"/>
  <c r="I199" i="7" s="1"/>
  <c r="H198" i="7"/>
  <c r="I198" i="7" s="1"/>
  <c r="H197" i="7"/>
  <c r="I197" i="7" s="1"/>
  <c r="H196" i="7"/>
  <c r="I196" i="7" s="1"/>
  <c r="H195" i="7"/>
  <c r="I195" i="7" s="1"/>
  <c r="H194" i="7"/>
  <c r="I194" i="7" s="1"/>
  <c r="H193" i="7"/>
  <c r="I193" i="7" s="1"/>
  <c r="H192" i="7"/>
  <c r="I192" i="7" s="1"/>
  <c r="H191" i="7"/>
  <c r="I191" i="7" s="1"/>
  <c r="H190" i="7"/>
  <c r="I190" i="7" s="1"/>
  <c r="H189" i="7"/>
  <c r="I189" i="7" s="1"/>
  <c r="H188" i="7"/>
  <c r="I188" i="7" s="1"/>
  <c r="H187" i="7"/>
  <c r="I187" i="7" s="1"/>
  <c r="H186" i="7"/>
  <c r="I186" i="7" s="1"/>
  <c r="H185" i="7"/>
  <c r="I185" i="7" s="1"/>
  <c r="H184" i="7"/>
  <c r="I184" i="7" s="1"/>
  <c r="H183" i="7"/>
  <c r="I183" i="7" s="1"/>
  <c r="H182" i="7"/>
  <c r="I182" i="7" s="1"/>
  <c r="H181" i="7"/>
  <c r="I181" i="7" s="1"/>
  <c r="H180" i="7"/>
  <c r="I180" i="7" s="1"/>
  <c r="H179" i="7"/>
  <c r="I179" i="7" s="1"/>
  <c r="H178" i="7"/>
  <c r="I178" i="7" s="1"/>
  <c r="H177" i="7"/>
  <c r="I177" i="7" s="1"/>
  <c r="H176" i="7"/>
  <c r="I176" i="7" s="1"/>
  <c r="H175" i="7"/>
  <c r="I175" i="7" s="1"/>
  <c r="H174" i="7"/>
  <c r="I174" i="7" s="1"/>
  <c r="H173" i="7"/>
  <c r="I173" i="7" s="1"/>
  <c r="H172" i="7"/>
  <c r="I172" i="7" s="1"/>
  <c r="H171" i="7"/>
  <c r="I171" i="7" s="1"/>
  <c r="H170" i="7"/>
  <c r="I170" i="7" s="1"/>
  <c r="H169" i="7"/>
  <c r="I169" i="7" s="1"/>
  <c r="H168" i="7"/>
  <c r="I168" i="7" s="1"/>
  <c r="H167" i="7"/>
  <c r="I167" i="7" s="1"/>
  <c r="H166" i="7"/>
  <c r="I166" i="7" s="1"/>
  <c r="H165" i="7"/>
  <c r="I165" i="7" s="1"/>
  <c r="H164" i="7"/>
  <c r="I164" i="7" s="1"/>
  <c r="H163" i="7"/>
  <c r="I163" i="7" s="1"/>
  <c r="H162" i="7"/>
  <c r="I162" i="7" s="1"/>
  <c r="H161" i="7"/>
  <c r="I161" i="7" s="1"/>
  <c r="H160" i="7"/>
  <c r="I160" i="7" s="1"/>
  <c r="H159" i="7"/>
  <c r="I159" i="7" s="1"/>
  <c r="H158" i="7"/>
  <c r="I158" i="7" s="1"/>
  <c r="H157" i="7"/>
  <c r="I157" i="7" s="1"/>
  <c r="H156" i="7"/>
  <c r="I156" i="7" s="1"/>
  <c r="H155" i="7"/>
  <c r="I155" i="7" s="1"/>
  <c r="H154" i="7"/>
  <c r="I154" i="7" s="1"/>
  <c r="H153" i="7"/>
  <c r="I153" i="7" s="1"/>
  <c r="I152" i="7"/>
  <c r="H152" i="7"/>
  <c r="H151" i="7"/>
  <c r="I151" i="7" s="1"/>
  <c r="H150" i="7"/>
  <c r="I150" i="7" s="1"/>
  <c r="H149" i="7"/>
  <c r="I149" i="7" s="1"/>
  <c r="H148" i="7"/>
  <c r="I148" i="7" s="1"/>
  <c r="H147" i="7"/>
  <c r="I147" i="7" s="1"/>
  <c r="H146" i="7"/>
  <c r="I146" i="7" s="1"/>
  <c r="H145" i="7"/>
  <c r="I145" i="7" s="1"/>
  <c r="H144" i="7"/>
  <c r="I144" i="7" s="1"/>
  <c r="H143" i="7"/>
  <c r="I143" i="7" s="1"/>
  <c r="H142" i="7"/>
  <c r="I142" i="7" s="1"/>
  <c r="H141" i="7"/>
  <c r="I141" i="7" s="1"/>
  <c r="H140" i="7"/>
  <c r="I140" i="7" s="1"/>
  <c r="H139" i="7"/>
  <c r="I139" i="7" s="1"/>
  <c r="H138" i="7"/>
  <c r="I138" i="7" s="1"/>
  <c r="H137" i="7"/>
  <c r="I137" i="7" s="1"/>
  <c r="H136" i="7"/>
  <c r="I136" i="7" s="1"/>
  <c r="H135" i="7"/>
  <c r="I135" i="7" s="1"/>
  <c r="H134" i="7"/>
  <c r="I134" i="7" s="1"/>
  <c r="H133" i="7"/>
  <c r="I133" i="7" s="1"/>
  <c r="H132" i="7"/>
  <c r="I132" i="7" s="1"/>
  <c r="H131" i="7"/>
  <c r="I131" i="7" s="1"/>
  <c r="H130" i="7"/>
  <c r="I130" i="7" s="1"/>
  <c r="H129" i="7"/>
  <c r="I129" i="7" s="1"/>
  <c r="H128" i="7"/>
  <c r="I128" i="7" s="1"/>
  <c r="H127" i="7"/>
  <c r="I127" i="7" s="1"/>
  <c r="H126" i="7"/>
  <c r="I126" i="7" s="1"/>
  <c r="H125" i="7"/>
  <c r="I125" i="7" s="1"/>
  <c r="H124" i="7"/>
  <c r="I124" i="7" s="1"/>
  <c r="H123" i="7"/>
  <c r="I123" i="7" s="1"/>
  <c r="H122" i="7"/>
  <c r="I122" i="7" s="1"/>
  <c r="H121" i="7"/>
  <c r="I121" i="7" s="1"/>
  <c r="H120" i="7"/>
  <c r="I120" i="7" s="1"/>
  <c r="H119" i="7"/>
  <c r="I119" i="7" s="1"/>
  <c r="H118" i="7"/>
  <c r="I118" i="7" s="1"/>
  <c r="H117" i="7"/>
  <c r="I117" i="7" s="1"/>
  <c r="H116" i="7"/>
  <c r="I116" i="7" s="1"/>
  <c r="H115" i="7"/>
  <c r="I115" i="7" s="1"/>
  <c r="H114" i="7"/>
  <c r="I114" i="7" s="1"/>
  <c r="H113" i="7"/>
  <c r="I113" i="7" s="1"/>
  <c r="H112" i="7"/>
  <c r="I112" i="7" s="1"/>
  <c r="H111" i="7"/>
  <c r="I111" i="7" s="1"/>
  <c r="H110" i="7"/>
  <c r="I110" i="7" s="1"/>
  <c r="H109" i="7"/>
  <c r="I109" i="7" s="1"/>
  <c r="H108" i="7"/>
  <c r="I108" i="7" s="1"/>
  <c r="H107" i="7"/>
  <c r="I107" i="7" s="1"/>
  <c r="H106" i="7"/>
  <c r="I106" i="7" s="1"/>
  <c r="H105" i="7"/>
  <c r="I105" i="7" s="1"/>
  <c r="H104" i="7"/>
  <c r="I104" i="7" s="1"/>
  <c r="H103" i="7"/>
  <c r="I103" i="7" s="1"/>
  <c r="H102" i="7"/>
  <c r="I102" i="7" s="1"/>
  <c r="H101" i="7"/>
  <c r="I101" i="7" s="1"/>
  <c r="H100" i="7"/>
  <c r="I100" i="7" s="1"/>
  <c r="H99" i="7"/>
  <c r="I99" i="7" s="1"/>
  <c r="H98" i="7"/>
  <c r="I98" i="7" s="1"/>
  <c r="H97" i="7"/>
  <c r="I97" i="7" s="1"/>
  <c r="H96" i="7"/>
  <c r="I96" i="7" s="1"/>
  <c r="H95" i="7"/>
  <c r="I95" i="7" s="1"/>
  <c r="H94" i="7"/>
  <c r="I94" i="7" s="1"/>
  <c r="H93" i="7"/>
  <c r="I93" i="7" s="1"/>
  <c r="H92" i="7"/>
  <c r="I92" i="7" s="1"/>
  <c r="H91" i="7"/>
  <c r="I91" i="7" s="1"/>
  <c r="H90" i="7"/>
  <c r="I90" i="7" s="1"/>
  <c r="H89" i="7"/>
  <c r="I89" i="7" s="1"/>
  <c r="H88" i="7"/>
  <c r="I88" i="7" s="1"/>
  <c r="H87" i="7"/>
  <c r="I87" i="7" s="1"/>
  <c r="H86" i="7"/>
  <c r="I86" i="7" s="1"/>
  <c r="H85" i="7"/>
  <c r="I85" i="7" s="1"/>
  <c r="H84" i="7"/>
  <c r="I84" i="7" s="1"/>
  <c r="H83" i="7"/>
  <c r="I83" i="7" s="1"/>
  <c r="H82" i="7"/>
  <c r="I82" i="7" s="1"/>
  <c r="H81" i="7"/>
  <c r="I81" i="7" s="1"/>
  <c r="H80" i="7"/>
  <c r="I80" i="7" s="1"/>
  <c r="H79" i="7"/>
  <c r="I79" i="7" s="1"/>
  <c r="H78" i="7"/>
  <c r="I78" i="7" s="1"/>
  <c r="H77" i="7"/>
  <c r="I77" i="7" s="1"/>
  <c r="H76" i="7"/>
  <c r="I76" i="7" s="1"/>
  <c r="H75" i="7"/>
  <c r="I75" i="7" s="1"/>
  <c r="H74" i="7"/>
  <c r="I74" i="7" s="1"/>
  <c r="H73" i="7"/>
  <c r="I73" i="7" s="1"/>
  <c r="H72" i="7"/>
  <c r="I72" i="7" s="1"/>
  <c r="H71" i="7"/>
  <c r="I71" i="7" s="1"/>
  <c r="H70" i="7"/>
  <c r="I70" i="7" s="1"/>
  <c r="H69" i="7"/>
  <c r="I69" i="7" s="1"/>
  <c r="H68" i="7"/>
  <c r="I68" i="7" s="1"/>
  <c r="H67" i="7"/>
  <c r="I67" i="7" s="1"/>
  <c r="H66" i="7"/>
  <c r="I66" i="7" s="1"/>
  <c r="H65" i="7"/>
  <c r="I65" i="7" s="1"/>
  <c r="H64" i="7"/>
  <c r="I64" i="7" s="1"/>
  <c r="H63" i="7"/>
  <c r="I63" i="7" s="1"/>
  <c r="H62" i="7"/>
  <c r="I62" i="7" s="1"/>
  <c r="H61" i="7"/>
  <c r="I61" i="7" s="1"/>
  <c r="H60" i="7"/>
  <c r="I60" i="7" s="1"/>
  <c r="H59" i="7"/>
  <c r="I59" i="7" s="1"/>
  <c r="H58" i="7"/>
  <c r="I58" i="7" s="1"/>
  <c r="H57" i="7"/>
  <c r="I57" i="7" s="1"/>
  <c r="H56" i="7"/>
  <c r="I56" i="7" s="1"/>
  <c r="H55" i="7"/>
  <c r="I55" i="7" s="1"/>
  <c r="H54" i="7"/>
  <c r="I54" i="7" s="1"/>
  <c r="H53" i="7"/>
  <c r="I53" i="7" s="1"/>
  <c r="H52" i="7"/>
  <c r="I52" i="7" s="1"/>
  <c r="H51" i="7"/>
  <c r="I51" i="7" s="1"/>
  <c r="H50" i="7"/>
  <c r="I50" i="7" s="1"/>
  <c r="H49" i="7"/>
  <c r="I49" i="7" s="1"/>
  <c r="H48" i="7"/>
  <c r="I48" i="7" s="1"/>
  <c r="H47" i="7"/>
  <c r="I47" i="7" s="1"/>
  <c r="H46" i="7"/>
  <c r="I46" i="7" s="1"/>
  <c r="H45" i="7"/>
  <c r="I45" i="7" s="1"/>
  <c r="H44" i="7"/>
  <c r="I44" i="7" s="1"/>
  <c r="H43" i="7"/>
  <c r="I43" i="7" s="1"/>
  <c r="H42" i="7"/>
  <c r="I42" i="7" s="1"/>
  <c r="H41" i="7"/>
  <c r="I41" i="7" s="1"/>
  <c r="H40" i="7"/>
  <c r="I40" i="7" s="1"/>
  <c r="H39" i="7"/>
  <c r="I39" i="7" s="1"/>
  <c r="H38" i="7"/>
  <c r="I38" i="7" s="1"/>
  <c r="H37" i="7"/>
  <c r="I37" i="7" s="1"/>
  <c r="H36" i="7"/>
  <c r="I36" i="7" s="1"/>
  <c r="H35" i="7"/>
  <c r="I35" i="7" s="1"/>
  <c r="H34" i="7"/>
  <c r="I34" i="7" s="1"/>
  <c r="H33" i="7"/>
  <c r="I33" i="7" s="1"/>
  <c r="H32" i="7"/>
  <c r="I32" i="7" s="1"/>
  <c r="H31" i="7"/>
  <c r="I31" i="7" s="1"/>
  <c r="H30" i="7"/>
  <c r="I30" i="7" s="1"/>
  <c r="H29" i="7"/>
  <c r="I29" i="7" s="1"/>
  <c r="H28" i="7"/>
  <c r="I28" i="7" s="1"/>
  <c r="H27" i="7"/>
  <c r="I27" i="7" s="1"/>
  <c r="H26" i="7"/>
  <c r="I26" i="7" s="1"/>
  <c r="H25" i="7"/>
  <c r="I25" i="7" s="1"/>
  <c r="H24" i="7"/>
  <c r="I24" i="7" s="1"/>
  <c r="H23" i="7"/>
  <c r="I23" i="7" s="1"/>
  <c r="H22" i="7"/>
  <c r="I22" i="7" s="1"/>
  <c r="H21" i="7"/>
  <c r="I21" i="7" s="1"/>
  <c r="H20" i="7"/>
  <c r="I20" i="7" s="1"/>
  <c r="H19" i="7"/>
  <c r="I19" i="7" s="1"/>
  <c r="H18" i="7"/>
  <c r="I18" i="7" s="1"/>
  <c r="H17" i="7"/>
  <c r="I17" i="7" s="1"/>
  <c r="H16" i="7"/>
  <c r="I16" i="7" s="1"/>
  <c r="H15" i="7"/>
  <c r="I15" i="7" s="1"/>
  <c r="H14" i="7"/>
  <c r="I14" i="7" s="1"/>
  <c r="H13" i="7"/>
  <c r="I13" i="7" s="1"/>
  <c r="H12" i="7"/>
  <c r="I12" i="7" s="1"/>
  <c r="H11" i="7"/>
  <c r="I11" i="7" s="1"/>
  <c r="H10" i="7"/>
  <c r="I10" i="7" s="1"/>
  <c r="H9" i="7"/>
  <c r="I9" i="7" s="1"/>
  <c r="H8" i="7"/>
  <c r="I8" i="7" s="1"/>
  <c r="H7" i="7"/>
  <c r="I7" i="7" s="1"/>
  <c r="H6" i="7"/>
  <c r="I6" i="7" s="1"/>
  <c r="A2" i="7"/>
  <c r="H13" i="6"/>
  <c r="H12" i="6"/>
  <c r="D13" i="3" s="1"/>
  <c r="H11" i="6"/>
  <c r="D12" i="3" s="1"/>
  <c r="H10" i="6"/>
  <c r="H9" i="6"/>
  <c r="H8" i="6"/>
  <c r="H7" i="6"/>
  <c r="H6" i="6"/>
  <c r="H5" i="6"/>
  <c r="H4" i="6"/>
  <c r="H13" i="5"/>
  <c r="H12" i="5"/>
  <c r="H11" i="5"/>
  <c r="H10" i="5"/>
  <c r="H9" i="5"/>
  <c r="H8" i="5"/>
  <c r="H7" i="5"/>
  <c r="H6" i="5"/>
  <c r="H5" i="5"/>
  <c r="H4" i="5"/>
  <c r="H13" i="4"/>
  <c r="H12" i="4"/>
  <c r="H11" i="4"/>
  <c r="H10" i="4"/>
  <c r="H9" i="4"/>
  <c r="H8" i="4"/>
  <c r="H7" i="4"/>
  <c r="H6" i="4"/>
  <c r="H5" i="4"/>
  <c r="H4" i="4"/>
  <c r="J25" i="3"/>
  <c r="A25" i="3"/>
  <c r="C25" i="3" s="1"/>
  <c r="I19" i="3"/>
  <c r="G19" i="3"/>
  <c r="E19" i="3"/>
  <c r="C19" i="3"/>
  <c r="N14" i="3"/>
  <c r="K14" i="3"/>
  <c r="I14" i="3"/>
  <c r="G14" i="3"/>
  <c r="D14" i="3"/>
  <c r="C14" i="3"/>
  <c r="B14" i="3"/>
  <c r="H14" i="3" s="1"/>
  <c r="J14" i="3" s="1"/>
  <c r="N13" i="3"/>
  <c r="K13" i="3"/>
  <c r="I13" i="3"/>
  <c r="G13" i="3"/>
  <c r="C13" i="3"/>
  <c r="B13" i="3"/>
  <c r="N12" i="3"/>
  <c r="K12" i="3"/>
  <c r="I12" i="3"/>
  <c r="G12" i="3"/>
  <c r="C12" i="3"/>
  <c r="B12" i="3"/>
  <c r="N11" i="3"/>
  <c r="K11" i="3"/>
  <c r="I11" i="3"/>
  <c r="G11" i="3"/>
  <c r="D11" i="3"/>
  <c r="C11" i="3"/>
  <c r="B11" i="3"/>
  <c r="H11" i="3" s="1"/>
  <c r="J11" i="3" s="1"/>
  <c r="N10" i="3"/>
  <c r="K10" i="3"/>
  <c r="I10" i="3"/>
  <c r="G10" i="3"/>
  <c r="D10" i="3"/>
  <c r="C10" i="3"/>
  <c r="B10" i="3"/>
  <c r="H10" i="3" s="1"/>
  <c r="J10" i="3" s="1"/>
  <c r="N9" i="3"/>
  <c r="K9" i="3"/>
  <c r="I9" i="3"/>
  <c r="G9" i="3"/>
  <c r="D9" i="3"/>
  <c r="C9" i="3"/>
  <c r="B9" i="3"/>
  <c r="H9" i="3" s="1"/>
  <c r="J9" i="3" s="1"/>
  <c r="N8" i="3"/>
  <c r="K8" i="3"/>
  <c r="I8" i="3"/>
  <c r="G8" i="3"/>
  <c r="D8" i="3"/>
  <c r="C8" i="3"/>
  <c r="B8" i="3"/>
  <c r="H8" i="3" s="1"/>
  <c r="J8" i="3" s="1"/>
  <c r="N7" i="3"/>
  <c r="K7" i="3"/>
  <c r="I7" i="3"/>
  <c r="G7" i="3"/>
  <c r="D7" i="3"/>
  <c r="C7" i="3"/>
  <c r="B7" i="3"/>
  <c r="H7" i="3" s="1"/>
  <c r="J7" i="3" s="1"/>
  <c r="N6" i="3"/>
  <c r="K6" i="3"/>
  <c r="I6" i="3"/>
  <c r="G6" i="3"/>
  <c r="D6" i="3"/>
  <c r="C6" i="3"/>
  <c r="B6" i="3"/>
  <c r="H6" i="3" s="1"/>
  <c r="J6" i="3" s="1"/>
  <c r="N5" i="3"/>
  <c r="K5" i="3"/>
  <c r="I5" i="3"/>
  <c r="G5" i="3"/>
  <c r="D5" i="3"/>
  <c r="C5" i="3"/>
  <c r="B5" i="3"/>
  <c r="H5" i="3" s="1"/>
  <c r="J5" i="3" s="1"/>
  <c r="D50" i="2"/>
  <c r="D49" i="2"/>
  <c r="C141" i="8" l="1"/>
  <c r="E141" i="8"/>
  <c r="D141" i="8"/>
  <c r="I141" i="8"/>
  <c r="H141" i="8"/>
  <c r="A141" i="8"/>
  <c r="G141" i="8"/>
  <c r="B141" i="8"/>
  <c r="F141" i="8"/>
  <c r="E140" i="8"/>
  <c r="D140" i="8"/>
  <c r="C140" i="8"/>
  <c r="A140" i="8"/>
  <c r="B140" i="8"/>
  <c r="I140" i="8"/>
  <c r="H140" i="8"/>
  <c r="G140" i="8"/>
  <c r="F140" i="8"/>
  <c r="F139" i="8"/>
  <c r="G139" i="8"/>
  <c r="H139" i="8"/>
  <c r="I139" i="8"/>
  <c r="B139" i="8"/>
  <c r="A139" i="8"/>
  <c r="C139" i="8"/>
  <c r="D139" i="8"/>
  <c r="E139" i="8"/>
  <c r="A138" i="8"/>
  <c r="B138" i="8"/>
  <c r="C138" i="8"/>
  <c r="D138" i="8"/>
  <c r="E138" i="8"/>
  <c r="F138" i="8"/>
  <c r="I138" i="8"/>
  <c r="H138" i="8"/>
  <c r="G138" i="8"/>
  <c r="A137" i="8"/>
  <c r="B137" i="8"/>
  <c r="C137" i="8"/>
  <c r="D137" i="8"/>
  <c r="E137" i="8"/>
  <c r="F137" i="8"/>
  <c r="H137" i="8"/>
  <c r="G137" i="8"/>
  <c r="I137" i="8"/>
  <c r="C136" i="8"/>
  <c r="A136" i="8"/>
  <c r="B136" i="8"/>
  <c r="I136" i="8"/>
  <c r="H136" i="8"/>
  <c r="G136" i="8"/>
  <c r="F136" i="8"/>
  <c r="E136" i="8"/>
  <c r="D136" i="8"/>
  <c r="B135" i="8"/>
  <c r="A135" i="8"/>
  <c r="F135" i="8"/>
  <c r="G135" i="8"/>
  <c r="H135" i="8"/>
  <c r="I135" i="8"/>
  <c r="C135" i="8"/>
  <c r="E135" i="8"/>
  <c r="D135" i="8"/>
  <c r="F134" i="8"/>
  <c r="H134" i="8"/>
  <c r="I134" i="8"/>
  <c r="G134" i="8"/>
  <c r="E134" i="8"/>
  <c r="D134" i="8"/>
  <c r="C134" i="8"/>
  <c r="B134" i="8"/>
  <c r="A134" i="8"/>
  <c r="G133" i="8"/>
  <c r="I133" i="8"/>
  <c r="F133" i="8"/>
  <c r="H133" i="8"/>
  <c r="A133" i="8"/>
  <c r="B133" i="8"/>
  <c r="C133" i="8"/>
  <c r="D133" i="8"/>
  <c r="E133" i="8"/>
  <c r="G132" i="8"/>
  <c r="B132" i="8"/>
  <c r="A132" i="8"/>
  <c r="C132" i="8"/>
  <c r="D132" i="8"/>
  <c r="E132" i="8"/>
  <c r="F132" i="8"/>
  <c r="H132" i="8"/>
  <c r="I132" i="8"/>
  <c r="D131" i="8"/>
  <c r="E131" i="8"/>
  <c r="A131" i="8"/>
  <c r="I131" i="8"/>
  <c r="H131" i="8"/>
  <c r="G131" i="8"/>
  <c r="C131" i="8"/>
  <c r="F131" i="8"/>
  <c r="B131" i="8"/>
  <c r="C130" i="8"/>
  <c r="B130" i="8"/>
  <c r="D130" i="8"/>
  <c r="E130" i="8"/>
  <c r="F130" i="8"/>
  <c r="H130" i="8"/>
  <c r="I130" i="8"/>
  <c r="G130" i="8"/>
  <c r="A130" i="8"/>
  <c r="B129" i="8"/>
  <c r="I129" i="8"/>
  <c r="A129" i="8"/>
  <c r="H129" i="8"/>
  <c r="G129" i="8"/>
  <c r="F129" i="8"/>
  <c r="E129" i="8"/>
  <c r="D129" i="8"/>
  <c r="C129" i="8"/>
  <c r="B128" i="8"/>
  <c r="D128" i="8"/>
  <c r="E128" i="8"/>
  <c r="G128" i="8"/>
  <c r="F128" i="8"/>
  <c r="C128" i="8"/>
  <c r="A128" i="8"/>
  <c r="I128" i="8"/>
  <c r="H128" i="8"/>
  <c r="F127" i="8"/>
  <c r="E127" i="8"/>
  <c r="C127" i="8"/>
  <c r="A127" i="8"/>
  <c r="B127" i="8"/>
  <c r="D127" i="8"/>
  <c r="G127" i="8"/>
  <c r="I127" i="8"/>
  <c r="H127" i="8"/>
  <c r="I126" i="8"/>
  <c r="H126" i="8"/>
  <c r="F126" i="8"/>
  <c r="D126" i="8"/>
  <c r="C126" i="8"/>
  <c r="A126" i="8"/>
  <c r="B126" i="8"/>
  <c r="E126" i="8"/>
  <c r="G126" i="8"/>
  <c r="I125" i="8"/>
  <c r="H125" i="8"/>
  <c r="F125" i="8"/>
  <c r="D125" i="8"/>
  <c r="B125" i="8"/>
  <c r="E125" i="8"/>
  <c r="A125" i="8"/>
  <c r="C125" i="8"/>
  <c r="G125" i="8"/>
  <c r="I124" i="8"/>
  <c r="H124" i="8"/>
  <c r="G124" i="8"/>
  <c r="F124" i="8"/>
  <c r="E124" i="8"/>
  <c r="D124" i="8"/>
  <c r="B124" i="8"/>
  <c r="A124" i="8"/>
  <c r="C124" i="8"/>
  <c r="C123" i="8"/>
  <c r="G123" i="8"/>
  <c r="E123" i="8"/>
  <c r="B123" i="8"/>
  <c r="D123" i="8"/>
  <c r="F123" i="8"/>
  <c r="H123" i="8"/>
  <c r="A123" i="8"/>
  <c r="I123" i="8"/>
  <c r="A122" i="8"/>
  <c r="C122" i="8"/>
  <c r="E122" i="8"/>
  <c r="G122" i="8"/>
  <c r="I122" i="8"/>
  <c r="H122" i="8"/>
  <c r="B122" i="8"/>
  <c r="D122" i="8"/>
  <c r="F122" i="8"/>
  <c r="G121" i="8"/>
  <c r="E121" i="8"/>
  <c r="C121" i="8"/>
  <c r="A121" i="8"/>
  <c r="I121" i="8"/>
  <c r="B121" i="8"/>
  <c r="D121" i="8"/>
  <c r="F121" i="8"/>
  <c r="H121" i="8"/>
  <c r="A120" i="8"/>
  <c r="C120" i="8"/>
  <c r="D120" i="8"/>
  <c r="B120" i="8"/>
  <c r="B119" i="8"/>
  <c r="A119" i="8"/>
  <c r="E119" i="8"/>
  <c r="I119" i="8"/>
  <c r="H119" i="8"/>
  <c r="G119" i="8"/>
  <c r="F119" i="8"/>
  <c r="D119" i="8"/>
  <c r="C119" i="8"/>
  <c r="D118" i="8"/>
  <c r="I118" i="8"/>
  <c r="F118" i="8"/>
  <c r="B118" i="8"/>
  <c r="H118" i="8"/>
  <c r="G118" i="8"/>
  <c r="E118" i="8"/>
  <c r="C118" i="8"/>
  <c r="A118" i="8"/>
  <c r="I117" i="8"/>
  <c r="G117" i="8"/>
  <c r="A117" i="8"/>
  <c r="C117" i="8"/>
  <c r="E117" i="8"/>
  <c r="H117" i="8"/>
  <c r="F117" i="8"/>
  <c r="D117" i="8"/>
  <c r="B117" i="8"/>
  <c r="E116" i="8"/>
  <c r="C116" i="8"/>
  <c r="G116" i="8"/>
  <c r="B116" i="8"/>
  <c r="D116" i="8"/>
  <c r="F116" i="8"/>
  <c r="H116" i="8"/>
  <c r="I116" i="8"/>
  <c r="A116" i="8"/>
  <c r="G115" i="8"/>
  <c r="A115" i="8"/>
  <c r="C115" i="8"/>
  <c r="F115" i="8"/>
  <c r="H115" i="8"/>
  <c r="I115" i="8"/>
  <c r="E115" i="8"/>
  <c r="D115" i="8"/>
  <c r="B115" i="8"/>
  <c r="A114" i="8"/>
  <c r="C114" i="8"/>
  <c r="G114" i="8"/>
  <c r="F114" i="8"/>
  <c r="B114" i="8"/>
  <c r="D114" i="8"/>
  <c r="E114" i="8"/>
  <c r="I114" i="8"/>
  <c r="H114" i="8"/>
  <c r="F113" i="8"/>
  <c r="B113" i="8"/>
  <c r="I113" i="8"/>
  <c r="E113" i="8"/>
  <c r="C113" i="8"/>
  <c r="G113" i="8"/>
  <c r="D113" i="8"/>
  <c r="A113" i="8"/>
  <c r="H113" i="8"/>
  <c r="D112" i="8"/>
  <c r="G112" i="8"/>
  <c r="F112" i="8"/>
  <c r="H112" i="8"/>
  <c r="E112" i="8"/>
  <c r="C112" i="8"/>
  <c r="A112" i="8"/>
  <c r="I112" i="8"/>
  <c r="B112" i="8"/>
  <c r="H111" i="8"/>
  <c r="A111" i="8"/>
  <c r="D111" i="8"/>
  <c r="G111" i="8"/>
  <c r="I111" i="8"/>
  <c r="F111" i="8"/>
  <c r="E111" i="8"/>
  <c r="C111" i="8"/>
  <c r="B111" i="8"/>
  <c r="F110" i="8"/>
  <c r="G110" i="8"/>
  <c r="E110" i="8"/>
  <c r="A110" i="8"/>
  <c r="B110" i="8"/>
  <c r="H110" i="8"/>
  <c r="I110" i="8"/>
  <c r="C110" i="8"/>
  <c r="D110" i="8"/>
  <c r="G109" i="8"/>
  <c r="C109" i="8"/>
  <c r="H109" i="8"/>
  <c r="F109" i="8"/>
  <c r="D109" i="8"/>
  <c r="I109" i="8"/>
  <c r="B109" i="8"/>
  <c r="A109" i="8"/>
  <c r="E109" i="8"/>
  <c r="A108" i="8"/>
  <c r="C108" i="8"/>
  <c r="H108" i="8"/>
  <c r="F108" i="8"/>
  <c r="D108" i="8"/>
  <c r="I108" i="8"/>
  <c r="G108" i="8"/>
  <c r="E108" i="8"/>
  <c r="B108" i="8"/>
  <c r="C107" i="8"/>
  <c r="H107" i="8"/>
  <c r="F107" i="8"/>
  <c r="I107" i="8"/>
  <c r="G107" i="8"/>
  <c r="E107" i="8"/>
  <c r="A107" i="8"/>
  <c r="D107" i="8"/>
  <c r="B107" i="8"/>
  <c r="H106" i="8"/>
  <c r="E106" i="8"/>
  <c r="A106" i="8"/>
  <c r="C106" i="8"/>
  <c r="I106" i="8"/>
  <c r="G106" i="8"/>
  <c r="F106" i="8"/>
  <c r="D106" i="8"/>
  <c r="B106" i="8"/>
  <c r="D105" i="8"/>
  <c r="G105" i="8"/>
  <c r="C105" i="8"/>
  <c r="H105" i="8"/>
  <c r="F105" i="8"/>
  <c r="I105" i="8"/>
  <c r="E105" i="8"/>
  <c r="B105" i="8"/>
  <c r="A105" i="8"/>
  <c r="H104" i="8"/>
  <c r="C104" i="8"/>
  <c r="D104" i="8"/>
  <c r="F104" i="8"/>
  <c r="B104" i="8"/>
  <c r="I104" i="8"/>
  <c r="G104" i="8"/>
  <c r="E104" i="8"/>
  <c r="A104" i="8"/>
  <c r="H103" i="8"/>
  <c r="B103" i="8"/>
  <c r="G103" i="8"/>
  <c r="D103" i="8"/>
  <c r="E103" i="8"/>
  <c r="A103" i="8"/>
  <c r="I103" i="8"/>
  <c r="F103" i="8"/>
  <c r="C103" i="8"/>
  <c r="B102" i="8"/>
  <c r="C102" i="8"/>
  <c r="F102" i="8"/>
  <c r="H102" i="8"/>
  <c r="A102" i="8"/>
  <c r="E102" i="8"/>
  <c r="I102" i="8"/>
  <c r="G102" i="8"/>
  <c r="D102" i="8"/>
  <c r="I101" i="8"/>
  <c r="F101" i="8"/>
  <c r="H101" i="8"/>
  <c r="G101" i="8"/>
  <c r="B101" i="8"/>
  <c r="A101" i="8"/>
  <c r="E101" i="8"/>
  <c r="D101" i="8"/>
  <c r="C101" i="8"/>
  <c r="H100" i="8"/>
  <c r="F100" i="8"/>
  <c r="I100" i="8"/>
  <c r="E100" i="8"/>
  <c r="A100" i="8"/>
  <c r="C100" i="8"/>
  <c r="G100" i="8"/>
  <c r="D100" i="8"/>
  <c r="I99" i="8"/>
  <c r="F99" i="8"/>
  <c r="E99" i="8"/>
  <c r="B99" i="8"/>
  <c r="A99" i="8"/>
  <c r="H99" i="8"/>
  <c r="C99" i="8"/>
  <c r="G99" i="8"/>
  <c r="D99" i="8"/>
  <c r="I98" i="8"/>
  <c r="F98" i="8"/>
  <c r="E98" i="8"/>
  <c r="C98" i="8"/>
  <c r="H98" i="8"/>
  <c r="B98" i="8"/>
  <c r="G98" i="8"/>
  <c r="D98" i="8"/>
  <c r="A98" i="8"/>
  <c r="I97" i="8"/>
  <c r="C97" i="8"/>
  <c r="E97" i="8"/>
  <c r="D97" i="8"/>
  <c r="A97" i="8"/>
  <c r="H97" i="8"/>
  <c r="G97" i="8"/>
  <c r="B97" i="8"/>
  <c r="F97" i="8"/>
  <c r="G96" i="8"/>
  <c r="D96" i="8"/>
  <c r="A96" i="8"/>
  <c r="B96" i="8"/>
  <c r="I96" i="8"/>
  <c r="C96" i="8"/>
  <c r="E96" i="8"/>
  <c r="F96" i="8"/>
  <c r="H96" i="8"/>
  <c r="I95" i="8"/>
  <c r="A95" i="8"/>
  <c r="D95" i="8"/>
  <c r="F95" i="8"/>
  <c r="H95" i="8"/>
  <c r="C95" i="8"/>
  <c r="E95" i="8"/>
  <c r="B95" i="8"/>
  <c r="G95" i="8"/>
  <c r="G94" i="8"/>
  <c r="I94" i="8"/>
  <c r="B94" i="8"/>
  <c r="D94" i="8"/>
  <c r="F94" i="8"/>
  <c r="A94" i="8"/>
  <c r="H94" i="8"/>
  <c r="E94" i="8"/>
  <c r="C94" i="8"/>
  <c r="I93" i="8"/>
  <c r="A93" i="8"/>
  <c r="C93" i="8"/>
  <c r="F93" i="8"/>
  <c r="G93" i="8"/>
  <c r="B93" i="8"/>
  <c r="D93" i="8"/>
  <c r="H93" i="8"/>
  <c r="E93" i="8"/>
  <c r="E92" i="8"/>
  <c r="F92" i="8"/>
  <c r="B92" i="8"/>
  <c r="D92" i="8"/>
  <c r="H92" i="8"/>
  <c r="I92" i="8"/>
  <c r="C92" i="8"/>
  <c r="A92" i="8"/>
  <c r="G92" i="8"/>
  <c r="A91" i="8"/>
  <c r="B91" i="8"/>
  <c r="D91" i="8"/>
  <c r="G91" i="8"/>
  <c r="I91" i="8"/>
  <c r="E91" i="8"/>
  <c r="H91" i="8"/>
  <c r="F91" i="8"/>
  <c r="C91" i="8"/>
  <c r="A90" i="8"/>
  <c r="D90" i="8"/>
  <c r="B90" i="8"/>
  <c r="F90" i="8"/>
  <c r="G90" i="8"/>
  <c r="I90" i="8"/>
  <c r="C90" i="8"/>
  <c r="E90" i="8"/>
  <c r="H90" i="8"/>
  <c r="D89" i="8"/>
  <c r="I89" i="8"/>
  <c r="E89" i="8"/>
  <c r="F89" i="8"/>
  <c r="B89" i="8"/>
  <c r="G89" i="8"/>
  <c r="A89" i="8"/>
  <c r="H89" i="8"/>
  <c r="C89" i="8"/>
  <c r="H88" i="8"/>
  <c r="F88" i="8"/>
  <c r="A88" i="8"/>
  <c r="E88" i="8"/>
  <c r="D88" i="8"/>
  <c r="G88" i="8"/>
  <c r="C88" i="8"/>
  <c r="I88" i="8"/>
  <c r="B88" i="8"/>
  <c r="H87" i="8"/>
  <c r="A87" i="8"/>
  <c r="D87" i="8"/>
  <c r="E87" i="8"/>
  <c r="B87" i="8"/>
  <c r="G87" i="8"/>
  <c r="I87" i="8"/>
  <c r="F87" i="8"/>
  <c r="C87" i="8"/>
  <c r="D86" i="8"/>
  <c r="B86" i="8"/>
  <c r="C86" i="8"/>
  <c r="I86" i="8"/>
  <c r="H86" i="8"/>
  <c r="G86" i="8"/>
  <c r="A86" i="8"/>
  <c r="F86" i="8"/>
  <c r="E86" i="8"/>
  <c r="E85" i="8"/>
  <c r="F85" i="8"/>
  <c r="G85" i="8"/>
  <c r="H85" i="8"/>
  <c r="I85" i="8"/>
  <c r="A85" i="8"/>
  <c r="B85" i="8"/>
  <c r="C85" i="8"/>
  <c r="D85" i="8"/>
  <c r="E84" i="8"/>
  <c r="A84" i="8"/>
  <c r="F84" i="8"/>
  <c r="G84" i="8"/>
  <c r="H84" i="8"/>
  <c r="I84" i="8"/>
  <c r="B84" i="8"/>
  <c r="C84" i="8"/>
  <c r="D84" i="8"/>
  <c r="A83" i="8"/>
  <c r="B83" i="8"/>
  <c r="C83" i="8"/>
  <c r="D83" i="8"/>
  <c r="E83" i="8"/>
  <c r="F83" i="8"/>
  <c r="G83" i="8"/>
  <c r="H83" i="8"/>
  <c r="I83" i="8"/>
  <c r="I82" i="8"/>
  <c r="H82" i="8"/>
  <c r="G82" i="8"/>
  <c r="F82" i="8"/>
  <c r="D82" i="8"/>
  <c r="C82" i="8"/>
  <c r="B82" i="8"/>
  <c r="A82" i="8"/>
  <c r="E82" i="8"/>
  <c r="I81" i="8"/>
  <c r="B81" i="8"/>
  <c r="H81" i="8"/>
  <c r="G81" i="8"/>
  <c r="F81" i="8"/>
  <c r="E81" i="8"/>
  <c r="D81" i="8"/>
  <c r="C81" i="8"/>
  <c r="A81" i="8"/>
  <c r="H80" i="8"/>
  <c r="E80" i="8"/>
  <c r="D80" i="8"/>
  <c r="C80" i="8"/>
  <c r="B80" i="8"/>
  <c r="A80" i="8"/>
  <c r="G80" i="8"/>
  <c r="F80" i="8"/>
  <c r="I80" i="8"/>
  <c r="I79" i="8"/>
  <c r="H79" i="8"/>
  <c r="G79" i="8"/>
  <c r="F79" i="8"/>
  <c r="E79" i="8"/>
  <c r="D79" i="8"/>
  <c r="B79" i="8"/>
  <c r="A79" i="8"/>
  <c r="C79" i="8"/>
  <c r="F78" i="8"/>
  <c r="G78" i="8"/>
  <c r="I78" i="8"/>
  <c r="E78" i="8"/>
  <c r="H78" i="8"/>
  <c r="A78" i="8"/>
  <c r="B78" i="8"/>
  <c r="C78" i="8"/>
  <c r="D78" i="8"/>
  <c r="G77" i="8"/>
  <c r="F77" i="8"/>
  <c r="H77" i="8"/>
  <c r="I77" i="8"/>
  <c r="A77" i="8"/>
  <c r="B77" i="8"/>
  <c r="C77" i="8"/>
  <c r="D77" i="8"/>
  <c r="E77" i="8"/>
  <c r="B76" i="8"/>
  <c r="F76" i="8"/>
  <c r="H76" i="8"/>
  <c r="I76" i="8"/>
  <c r="E76" i="8"/>
  <c r="D76" i="8"/>
  <c r="C76" i="8"/>
  <c r="A76" i="8"/>
  <c r="G76" i="8"/>
  <c r="A75" i="8"/>
  <c r="G75" i="8"/>
  <c r="F75" i="8"/>
  <c r="E75" i="8"/>
  <c r="D75" i="8"/>
  <c r="C75" i="8"/>
  <c r="B75" i="8"/>
  <c r="H75" i="8"/>
  <c r="F74" i="8"/>
  <c r="G74" i="8"/>
  <c r="H74" i="8"/>
  <c r="E74" i="8"/>
  <c r="I74" i="8"/>
  <c r="D74" i="8"/>
  <c r="C74" i="8"/>
  <c r="B74" i="8"/>
  <c r="A74" i="8"/>
  <c r="D73" i="8"/>
  <c r="H73" i="8"/>
  <c r="G73" i="8"/>
  <c r="F73" i="8"/>
  <c r="E73" i="8"/>
  <c r="A73" i="8"/>
  <c r="B73" i="8"/>
  <c r="C73" i="8"/>
  <c r="I73" i="8"/>
  <c r="E72" i="8"/>
  <c r="F72" i="8"/>
  <c r="G72" i="8"/>
  <c r="H72" i="8"/>
  <c r="I72" i="8"/>
  <c r="D72" i="8"/>
  <c r="C72" i="8"/>
  <c r="B72" i="8"/>
  <c r="A72" i="8"/>
  <c r="E71" i="8"/>
  <c r="A71" i="8"/>
  <c r="B71" i="8"/>
  <c r="C71" i="8"/>
  <c r="D71" i="8"/>
  <c r="I71" i="8"/>
  <c r="H71" i="8"/>
  <c r="G71" i="8"/>
  <c r="F71" i="8"/>
  <c r="C70" i="8"/>
  <c r="B70" i="8"/>
  <c r="A70" i="8"/>
  <c r="I70" i="8"/>
  <c r="H70" i="8"/>
  <c r="G70" i="8"/>
  <c r="F70" i="8"/>
  <c r="E70" i="8"/>
  <c r="D70" i="8"/>
  <c r="E69" i="8"/>
  <c r="D69" i="8"/>
  <c r="C69" i="8"/>
  <c r="B69" i="8"/>
  <c r="A69" i="8"/>
  <c r="I69" i="8"/>
  <c r="H69" i="8"/>
  <c r="G69" i="8"/>
  <c r="F69" i="8"/>
  <c r="I68" i="8"/>
  <c r="H68" i="8"/>
  <c r="E68" i="8"/>
  <c r="G68" i="8"/>
  <c r="F68" i="8"/>
  <c r="A68" i="8"/>
  <c r="B68" i="8"/>
  <c r="C68" i="8"/>
  <c r="D68" i="8"/>
  <c r="B67" i="8"/>
  <c r="H67" i="8"/>
  <c r="F67" i="8"/>
  <c r="E67" i="8"/>
  <c r="D67" i="8"/>
  <c r="A67" i="8"/>
  <c r="G67" i="8"/>
  <c r="I67" i="8"/>
  <c r="C67" i="8"/>
  <c r="F66" i="8"/>
  <c r="A66" i="8"/>
  <c r="B66" i="8"/>
  <c r="C66" i="8"/>
  <c r="D66" i="8"/>
  <c r="E66" i="8"/>
  <c r="G66" i="8"/>
  <c r="H66" i="8"/>
  <c r="I66" i="8"/>
  <c r="I65" i="8"/>
  <c r="H65" i="8"/>
  <c r="E65" i="8"/>
  <c r="G65" i="8"/>
  <c r="D65" i="8"/>
  <c r="C65" i="8"/>
  <c r="B65" i="8"/>
  <c r="A65" i="8"/>
  <c r="F65" i="8"/>
  <c r="C64" i="8"/>
  <c r="F64" i="8"/>
  <c r="D64" i="8"/>
  <c r="E64" i="8"/>
  <c r="B64" i="8"/>
  <c r="A64" i="8"/>
  <c r="B63" i="8"/>
  <c r="C63" i="8"/>
  <c r="A63" i="8"/>
  <c r="D63" i="8"/>
  <c r="E63" i="8"/>
  <c r="I63" i="8"/>
  <c r="H63" i="8"/>
  <c r="G63" i="8"/>
  <c r="F63" i="8"/>
  <c r="G62" i="8"/>
  <c r="H62" i="8"/>
  <c r="B62" i="8"/>
  <c r="A62" i="8"/>
  <c r="C62" i="8"/>
  <c r="I62" i="8"/>
  <c r="D62" i="8"/>
  <c r="E62" i="8"/>
  <c r="F62" i="8"/>
  <c r="I61" i="8"/>
  <c r="H61" i="8"/>
  <c r="G61" i="8"/>
  <c r="F61" i="8"/>
  <c r="E61" i="8"/>
  <c r="D61" i="8"/>
  <c r="C61" i="8"/>
  <c r="B61" i="8"/>
  <c r="A61" i="8"/>
  <c r="I60" i="8"/>
  <c r="H60" i="8"/>
  <c r="E60" i="8"/>
  <c r="F60" i="8"/>
  <c r="G60" i="8"/>
  <c r="A60" i="8"/>
  <c r="B60" i="8"/>
  <c r="C60" i="8"/>
  <c r="D60" i="8"/>
  <c r="I59" i="8"/>
  <c r="G59" i="8"/>
  <c r="F59" i="8"/>
  <c r="E59" i="8"/>
  <c r="D59" i="8"/>
  <c r="C59" i="8"/>
  <c r="H59" i="8"/>
  <c r="B59" i="8"/>
  <c r="A59" i="8"/>
  <c r="I58" i="8"/>
  <c r="H58" i="8"/>
  <c r="E58" i="8"/>
  <c r="F58" i="8"/>
  <c r="D58" i="8"/>
  <c r="C58" i="8"/>
  <c r="B58" i="8"/>
  <c r="A58" i="8"/>
  <c r="G58" i="8"/>
  <c r="A57" i="8"/>
  <c r="F57" i="8"/>
  <c r="G57" i="8"/>
  <c r="B57" i="8"/>
  <c r="C57" i="8"/>
  <c r="I57" i="8"/>
  <c r="H57" i="8"/>
  <c r="E57" i="8"/>
  <c r="D57" i="8"/>
  <c r="C56" i="8"/>
  <c r="G56" i="8"/>
  <c r="A56" i="8"/>
  <c r="D56" i="8"/>
  <c r="B56" i="8"/>
  <c r="E56" i="8"/>
  <c r="F56" i="8"/>
  <c r="H56" i="8"/>
  <c r="I56" i="8"/>
  <c r="D55" i="8"/>
  <c r="I55" i="8"/>
  <c r="H55" i="8"/>
  <c r="F55" i="8"/>
  <c r="E55" i="8"/>
  <c r="B55" i="8"/>
  <c r="C55" i="8"/>
  <c r="G55" i="8"/>
  <c r="A55" i="8"/>
  <c r="I54" i="8"/>
  <c r="H54" i="8"/>
  <c r="F54" i="8"/>
  <c r="E54" i="8"/>
  <c r="C54" i="8"/>
  <c r="A54" i="8"/>
  <c r="G54" i="8"/>
  <c r="D54" i="8"/>
  <c r="B54" i="8"/>
  <c r="E53" i="8"/>
  <c r="F53" i="8"/>
  <c r="H53" i="8"/>
  <c r="I53" i="8"/>
  <c r="C53" i="8"/>
  <c r="B53" i="8"/>
  <c r="A53" i="8"/>
  <c r="G53" i="8"/>
  <c r="D53" i="8"/>
  <c r="H52" i="8"/>
  <c r="G52" i="8"/>
  <c r="F52" i="8"/>
  <c r="E52" i="8"/>
  <c r="D52" i="8"/>
  <c r="C52" i="8"/>
  <c r="A52" i="8"/>
  <c r="B52" i="8"/>
  <c r="I52" i="8"/>
  <c r="I51" i="8"/>
  <c r="H51" i="8"/>
  <c r="G51" i="8"/>
  <c r="F51" i="8"/>
  <c r="E51" i="8"/>
  <c r="D51" i="8"/>
  <c r="C51" i="8"/>
  <c r="B51" i="8"/>
  <c r="A51" i="8"/>
  <c r="H50" i="8"/>
  <c r="I50" i="8"/>
  <c r="F50" i="8"/>
  <c r="D50" i="8"/>
  <c r="A50" i="8"/>
  <c r="B50" i="8"/>
  <c r="C50" i="8"/>
  <c r="E50" i="8"/>
  <c r="G50" i="8"/>
  <c r="A49" i="8"/>
  <c r="H49" i="8"/>
  <c r="G49" i="8"/>
  <c r="F49" i="8"/>
  <c r="I49" i="8"/>
  <c r="B49" i="8"/>
  <c r="E49" i="8"/>
  <c r="D49" i="8"/>
  <c r="C49" i="8"/>
  <c r="H48" i="8"/>
  <c r="I48" i="8"/>
  <c r="D48" i="8"/>
  <c r="B48" i="8"/>
  <c r="C48" i="8"/>
  <c r="G48" i="8"/>
  <c r="E48" i="8"/>
  <c r="A48" i="8"/>
  <c r="F48" i="8"/>
  <c r="H47" i="8"/>
  <c r="I47" i="8"/>
  <c r="A47" i="8"/>
  <c r="G47" i="8"/>
  <c r="F47" i="8"/>
  <c r="D47" i="8"/>
  <c r="E47" i="8"/>
  <c r="C47" i="8"/>
  <c r="B47" i="8"/>
  <c r="G46" i="8"/>
  <c r="E46" i="8"/>
  <c r="B46" i="8"/>
  <c r="A46" i="8"/>
  <c r="F46" i="8"/>
  <c r="D46" i="8"/>
  <c r="C46" i="8"/>
  <c r="I46" i="8"/>
  <c r="H46" i="8"/>
  <c r="C45" i="8"/>
  <c r="H45" i="8"/>
  <c r="G45" i="8"/>
  <c r="F45" i="8"/>
  <c r="E45" i="8"/>
  <c r="D45" i="8"/>
  <c r="A45" i="8"/>
  <c r="I45" i="8"/>
  <c r="B45" i="8"/>
  <c r="C44" i="8"/>
  <c r="B44" i="8"/>
  <c r="A44" i="8"/>
  <c r="E44" i="8"/>
  <c r="I44" i="8"/>
  <c r="H44" i="8"/>
  <c r="G44" i="8"/>
  <c r="D44" i="8"/>
  <c r="F44" i="8"/>
  <c r="D43" i="8"/>
  <c r="E43" i="8"/>
  <c r="I43" i="8"/>
  <c r="H43" i="8"/>
  <c r="B43" i="8"/>
  <c r="A43" i="8"/>
  <c r="F43" i="8"/>
  <c r="G43" i="8"/>
  <c r="C43" i="8"/>
  <c r="A42" i="8"/>
  <c r="I42" i="8"/>
  <c r="C42" i="8"/>
  <c r="G42" i="8"/>
  <c r="H42" i="8"/>
  <c r="F42" i="8"/>
  <c r="D42" i="8"/>
  <c r="B42" i="8"/>
  <c r="E42" i="8"/>
  <c r="K5" i="8"/>
  <c r="K6" i="8"/>
  <c r="E25" i="3"/>
  <c r="G25" i="3"/>
  <c r="L14" i="3"/>
  <c r="M14" i="3"/>
  <c r="L11" i="3"/>
  <c r="M11" i="3"/>
  <c r="L10" i="3"/>
  <c r="M10" i="3"/>
  <c r="L9" i="3"/>
  <c r="M9" i="3"/>
  <c r="L8" i="3"/>
  <c r="M8" i="3"/>
  <c r="L7" i="3"/>
  <c r="M7" i="3"/>
  <c r="L6" i="3"/>
  <c r="M6" i="3"/>
  <c r="L5" i="3"/>
  <c r="M5" i="3"/>
  <c r="H13" i="3"/>
  <c r="J13" i="3" s="1"/>
  <c r="H12" i="3"/>
  <c r="J12" i="3" s="1"/>
  <c r="K8" i="8" l="1"/>
  <c r="K7" i="8"/>
  <c r="M13" i="3"/>
  <c r="L13" i="3"/>
  <c r="M12" i="3"/>
  <c r="L12" i="3"/>
  <c r="A19" i="3"/>
  <c r="K19" i="3"/>
  <c r="K9" i="8" l="1"/>
  <c r="K10" i="8" l="1"/>
  <c r="K11" i="8" l="1"/>
  <c r="K12" i="8" l="1"/>
  <c r="K13" i="8" l="1"/>
  <c r="K14" i="8" s="1"/>
  <c r="K15" i="8" s="1"/>
  <c r="K16" i="8" s="1"/>
  <c r="K17" i="8" s="1"/>
  <c r="K18" i="8" s="1"/>
  <c r="K19" i="8" s="1"/>
  <c r="K20" i="8" s="1"/>
  <c r="K21" i="8" s="1"/>
  <c r="K22" i="8" s="1"/>
  <c r="K23" i="8" s="1"/>
  <c r="K24" i="8" s="1"/>
  <c r="K25" i="8" s="1"/>
  <c r="K26" i="8" s="1"/>
  <c r="K27" i="8" s="1"/>
  <c r="K28" i="8" s="1"/>
  <c r="K29" i="8" s="1"/>
  <c r="K30" i="8" s="1"/>
  <c r="K31" i="8" s="1"/>
  <c r="K32" i="8" s="1"/>
  <c r="K33" i="8" s="1"/>
  <c r="K34" i="8" s="1"/>
  <c r="K35" i="8" s="1"/>
  <c r="K36" i="8" s="1"/>
  <c r="K37" i="8" s="1"/>
  <c r="K38" i="8" s="1"/>
  <c r="K39" i="8" s="1"/>
  <c r="K40" i="8" s="1"/>
  <c r="K41" i="8" s="1"/>
  <c r="K42" i="8" s="1"/>
  <c r="K43" i="8" s="1"/>
  <c r="K44" i="8" s="1"/>
  <c r="K45" i="8" s="1"/>
  <c r="K46" i="8" s="1"/>
  <c r="K47" i="8" s="1"/>
  <c r="K48" i="8" s="1"/>
  <c r="K49" i="8" s="1"/>
  <c r="K50" i="8" s="1"/>
  <c r="K51" i="8" s="1"/>
  <c r="K52" i="8" s="1"/>
  <c r="K53" i="8" s="1"/>
</calcChain>
</file>

<file path=xl/sharedStrings.xml><?xml version="1.0" encoding="utf-8"?>
<sst xmlns="http://schemas.openxmlformats.org/spreadsheetml/2006/main" count="274" uniqueCount="251">
  <si>
    <t>📖  Zakat-LogBook v3.0 — WORKBOOK GUIDE &amp; REFERENCE</t>
  </si>
  <si>
    <t>Everything you need to know about using this Zakat LogBook. All colour codes, column explanations, and FAQ consolidated here.</t>
  </si>
  <si>
    <t>🎨  Colour Coding Standard</t>
  </si>
  <si>
    <t>Blue text</t>
  </si>
  <si>
    <t>Manual input cells — these are the cells you type into</t>
  </si>
  <si>
    <t>Green text</t>
  </si>
  <si>
    <t>Auto-calculated or linked from another sheet — do not edit</t>
  </si>
  <si>
    <t>Red text</t>
  </si>
  <si>
    <t>Debts, liabilities, or amounts still owed</t>
  </si>
  <si>
    <t>Purple text</t>
  </si>
  <si>
    <t>Report totals in the Reports sheet</t>
  </si>
  <si>
    <t>Orange text</t>
  </si>
  <si>
    <t>Qurbani and certain breakdown values</t>
  </si>
  <si>
    <t>Yellow background</t>
  </si>
  <si>
    <t>The person-selector cell on the Reports sheet</t>
  </si>
  <si>
    <t>Gold background</t>
  </si>
  <si>
    <t>Nisab threshold — highlights the minimum wealth threshold column</t>
  </si>
  <si>
    <t>Orange background</t>
  </si>
  <si>
    <t>Zakat Due column — what you owe for each year</t>
  </si>
  <si>
    <t>Pink / red bg</t>
  </si>
  <si>
    <t>Running balance — how much Zakat is still outstanding</t>
  </si>
  <si>
    <t>📋  Sheet-by-Sheet Guide</t>
  </si>
  <si>
    <t>Zakat Summary</t>
  </si>
  <si>
    <t>Main dashboard. One row per Zakat year. Enter the date, gold price, and oz of gold you own. Everything else is pulled automatically — Stocks, Cash, Debts, Paid amounts, Status, and Hawl countdown.</t>
  </si>
  <si>
    <t>Stocks</t>
  </si>
  <si>
    <t>Track your investment and brokerage accounts. One row per year. Each column = one account. Insert a new column before 'Total Portfolio' to add more accounts.</t>
  </si>
  <si>
    <t>Cash</t>
  </si>
  <si>
    <t>Track cash, checking, savings, and liquid accounts. Same row-per-year layout. Insert columns before 'Total Cash' to add more accounts.</t>
  </si>
  <si>
    <t>Debts</t>
  </si>
  <si>
    <t>List all outstanding debts. Totals are deducted from your zakatable assets in the Summary. Insert columns before 'Total Debts' to add more debt types.</t>
  </si>
  <si>
    <t>Ledger</t>
  </si>
  <si>
    <t>Record every payment — Zakat, Sadaqah, Fitrana, Qurbani, and other types. Use the Type, Service, and Given To dropdowns. Amount + Fees = Total Paid. Running Total auto-cumulates.</t>
  </si>
  <si>
    <t>Reports</t>
  </si>
  <si>
    <t>Select any person from the dropdown to see all payments made to them, broken down by type, with full transaction history and service fee summary. Filter by year with the C5 dropdown.</t>
  </si>
  <si>
    <t>Settings</t>
  </si>
  <si>
    <t>Manage your dropdown lists — Payment Types (col B), Transfer Services (col D), Recipients (col F). Configure Nisab oz values and use the live Nisab calculator. All changes take effect immediately.</t>
  </si>
  <si>
    <t>Guide (this)</t>
  </si>
  <si>
    <t>Reference sheet. All colour codes, column explanations, and FAQ. Nothing here affects any calculations.</t>
  </si>
  <si>
    <t>📊  Zakat Summary — Column-by-Column Explanation</t>
  </si>
  <si>
    <t>Zakat Date</t>
  </si>
  <si>
    <t>The date on which you calculate your annual Zakat. Typically the same date each lunar year (your 'Zakat anniversary'). Enter this first — other columns reference it.</t>
  </si>
  <si>
    <t>Stock Portfolio ($)</t>
  </si>
  <si>
    <t>Auto-pulled from the Stocks sheet — total of all brokerage/investment accounts for that row. Make sure the Stocks row matches this Zakat year.</t>
  </si>
  <si>
    <t>Cash &amp; Liquid ($)</t>
  </si>
  <si>
    <t>Auto-pulled from the Cash sheet — total of all checking, savings, and liquid balances for that row.</t>
  </si>
  <si>
    <t>Total Debts ($)</t>
  </si>
  <si>
    <t>Auto-pulled from the Debts sheet — subtracted from your assets when calculating net zakatable wealth.</t>
  </si>
  <si>
    <t>Gold Price ($/oz)</t>
  </si>
  <si>
    <t>Enter the gold spot price in USD per troy oz on your Zakat date. Look up at goldprice.org or kitco.com. This also drives the Nisab threshold.</t>
  </si>
  <si>
    <t>Gold Owned (oz)</t>
  </si>
  <si>
    <t>How many troy oz of gold you personally own on that date (jewelry, coins, bars, etc.).</t>
  </si>
  <si>
    <t>Value of Gold ($)</t>
  </si>
  <si>
    <t>Auto-calculated: Gold Price × Gold Owned oz.</t>
  </si>
  <si>
    <t>Net Zakatable Assets ($)</t>
  </si>
  <si>
    <t>Stocks + Cash + Gold Value − Debts. This is the total wealth on which Zakat is assessed.</t>
  </si>
  <si>
    <t>Nisab Threshold ($)</t>
  </si>
  <si>
    <t>The minimum wealth threshold for Zakat to be obligatory. Calculated as: Gold Price × Nisab oz (default 2.7315 oz = 85g gold). Edit the oz value in Settings D44. If Net Assets &lt; Nisab, no Zakat is due.</t>
  </si>
  <si>
    <t>Zakat Due (2.5%) ($)</t>
  </si>
  <si>
    <t>2.5% of Net Zakatable Assets — but ONLY if Net Assets ≥ Nisab. Shows $0 if below threshold. Zakat is on your FULL net wealth, not just the surplus above Nisab.</t>
  </si>
  <si>
    <t>Paid This Period ($)</t>
  </si>
  <si>
    <t>Auto-calculated from the Ledger: total of all 'Zakat' type payments with dates between the previous Zakat date and this one.</t>
  </si>
  <si>
    <t>Running Balance ($)</t>
  </si>
  <si>
    <t>Cumulative: Zakat Due − Paid This Period + previous year's balance. Positive = you still owe. Negative = you have overpaid (credit carries forward).</t>
  </si>
  <si>
    <t>Status</t>
  </si>
  <si>
    <t>Auto status: ✅ Paid in Full (balance ≤ 0), ⚠️ Partially Paid (some paid, balance remains), ❌ Not Started (nothing paid yet for this year).</t>
  </si>
  <si>
    <t>Brought Forward ($)</t>
  </si>
  <si>
    <t>The unpaid Zakat balance carried in from the prior year. Read-only. Highlighted red if &gt; 0 to remind you there is outstanding Zakat from a previous year.</t>
  </si>
  <si>
    <t>🌙  What Is Nisab? — Detailed Explanation</t>
  </si>
  <si>
    <t>Definition</t>
  </si>
  <si>
    <t>Nisab (نصاب) is the minimum amount of wealth a Muslim must possess continuously for one lunar year before Zakat becomes obligatory. If your net zakatable assets fall below Nisab at any point, the Hawl (year cycle) resets.</t>
  </si>
  <si>
    <t>Gold Standard (default)</t>
  </si>
  <si>
    <t>85 grams of gold. Divide 85 by 31.1035 (grams per troy oz) = 2.7315 troy oz. Multiply by the current gold spot price to get the Nisab in dollars. This is the default used in Zakat Summary. The 2.7315 value is stored in Settings D44.</t>
  </si>
  <si>
    <t>Silver Standard</t>
  </si>
  <si>
    <t>595 grams of silver = 19.1358 troy oz × silver price. Because silver is much cheaper, the silver Nisab threshold is significantly lower — meaning more people qualify. Stored in Settings D45.</t>
  </si>
  <si>
    <t>Which should I use?</t>
  </si>
  <si>
    <t>Follow the guidance of your scholar or local mosque. The gold standard is most widely used in North America and by the four major Sunni schools. Change the Nisab oz in Settings D44 at any time — all calculations update immediately.</t>
  </si>
  <si>
    <t>One Lunar Year (Hawl) Rule</t>
  </si>
  <si>
    <t>You must possess wealth above Nisab for a complete lunar year (354 days) before Zakat is due. The Hawl Tracker in Zakat Summary calculates your next due date automatically.</t>
  </si>
  <si>
    <t>Full Wealth Rule</t>
  </si>
  <si>
    <t>Zakat is 2.5% of your ENTIRE net zakatable wealth — not just the amount above Nisab. Nisab is a qualifying threshold only. Once crossed, 2.5% applies to the full amount. This is the majority position of all four Sunni schools (Hanafi, Maliki, Shafi'i, Hanbali).</t>
  </si>
  <si>
    <t>❓  Frequently Asked Questions</t>
  </si>
  <si>
    <t>How do I add a new account?</t>
  </si>
  <si>
    <t>Go to Stocks, Cash, or Debts sheet → right-click the 'Total' column header → Insert → type your account name in the header row. The Total formula expands automatically.</t>
  </si>
  <si>
    <t>How do I add a new payment type?</t>
  </si>
  <si>
    <t>Go to Settings sheet → type the new type in any empty cell under 'PAYMENT TYPES' (col B). It will immediately appear in the Type dropdown in the Ledger.</t>
  </si>
  <si>
    <t>How do I add a new transfer service?</t>
  </si>
  <si>
    <t>Go to Settings sheet → type the new service in any empty cell under 'SERVICES / TRANSFER METHODS' (col D). It will appear in the Service Used dropdown in the Ledger.</t>
  </si>
  <si>
    <t>How do I add a new recipient?</t>
  </si>
  <si>
    <t>Go to Settings sheet → type the name in any empty cell under 'RECIPIENTS / GIVEN TO' (col F). It will appear in the Given To dropdown in the Ledger and in the Reports person selector.</t>
  </si>
  <si>
    <t>Can I change the Nisab standard?</t>
  </si>
  <si>
    <t>Yes — go to Settings → Nisab Settings. Change the 'Gold Nisab (troy oz)' value in D44. The Zakat Summary recalculates immediately. To use silver, update D44 to reference D45 or enter the value manually.</t>
  </si>
  <si>
    <t>What if I paid Zakat in multiple instalments?</t>
  </si>
  <si>
    <t>Enter each payment as a separate row in the Ledger with Type = 'Zakat'. The 'Paid This Period' column in the Summary sums all matching Ledger entries automatically.</t>
  </si>
  <si>
    <t>Why does Running Balance show positive?</t>
  </si>
  <si>
    <t>Positive balance means you still owe Zakat — you have not yet paid the full amount due. Negative means you overpaid (credit carries forward to next year in the Brought Forward column).</t>
  </si>
  <si>
    <t>Why is the Brought Forward column highlighted red?</t>
  </si>
  <si>
    <t>Column N turns red when it is &gt; 0, meaning unpaid Zakat was carried in from a prior year. It clears once the Running Balance for that year reaches zero or below.</t>
  </si>
  <si>
    <t>This workbook is for personal tracking only. Consult a qualified Islamic scholar for formal Zakat rulings specific to your situation.</t>
  </si>
  <si>
    <t>⚙  Zakat-LogBook v3.0 — SETTINGS</t>
  </si>
  <si>
    <t>Add or remove items in the lists below. Changes take effect immediately in all dropdown menus.</t>
  </si>
  <si>
    <t>PAYMENT TYPES</t>
  </si>
  <si>
    <t>SERVICES / TRANSFER METHODS</t>
  </si>
  <si>
    <t>RECIPIENTS / GIVEN TO</t>
  </si>
  <si>
    <t>COLOUR LEGEND</t>
  </si>
  <si>
    <t>Type Name</t>
  </si>
  <si>
    <t>Service Name</t>
  </si>
  <si>
    <t>Recipient Name</t>
  </si>
  <si>
    <t>Description</t>
  </si>
  <si>
    <t>Zakat</t>
  </si>
  <si>
    <t>Remitly</t>
  </si>
  <si>
    <t>Islamic Relief USA</t>
  </si>
  <si>
    <t>Blue text: Manual input cells — type here</t>
  </si>
  <si>
    <t>Sadaqah</t>
  </si>
  <si>
    <t>Western Union</t>
  </si>
  <si>
    <t>Zakat Foundation</t>
  </si>
  <si>
    <t>Green text: Calculated / linked from another sheet</t>
  </si>
  <si>
    <t>Fitrana</t>
  </si>
  <si>
    <t>Wise (TransferWise)</t>
  </si>
  <si>
    <t>LaunchGood</t>
  </si>
  <si>
    <t>Red text: Debts or amounts owed</t>
  </si>
  <si>
    <t>Qurbani</t>
  </si>
  <si>
    <t>PayPal</t>
  </si>
  <si>
    <t>Local Mosque</t>
  </si>
  <si>
    <t>Purple text: Report totals</t>
  </si>
  <si>
    <t>Zelle</t>
  </si>
  <si>
    <t>Family Member</t>
  </si>
  <si>
    <t>Gold background: Nisab-related cells</t>
  </si>
  <si>
    <t>Bank Transfer</t>
  </si>
  <si>
    <t>Orange background: Zakat due amounts</t>
  </si>
  <si>
    <t>Check</t>
  </si>
  <si>
    <t>Venmo</t>
  </si>
  <si>
    <t>CashApp</t>
  </si>
  <si>
    <t>MoneyGram</t>
  </si>
  <si>
    <t>Other</t>
  </si>
  <si>
    <t>← Add more types above</t>
  </si>
  <si>
    <t>← Add more services above</t>
  </si>
  <si>
    <t>← Add recipients above</t>
  </si>
  <si>
    <t>NISAB SETTINGS</t>
  </si>
  <si>
    <t>What is Nisab?</t>
  </si>
  <si>
    <t>Nisab is the minimum threshold of wealth a Muslim must possess for one full lunar year before Zakat becomes obligatory. If your net zakatable assets are below Nisab on your Zakat date, no Zakat is due. Once above it, 2.5% of your FULL net wealth is owed.</t>
  </si>
  <si>
    <t>Two standards:</t>
  </si>
  <si>
    <t>Scholars use two measures: (1) Gold Nisab = 85 grams of gold. (2) Silver Nisab = 595 grams of silver. Gold (85g) is the most widely used standard today. Silver gives a lower threshold.</t>
  </si>
  <si>
    <t>How it's calculated:</t>
  </si>
  <si>
    <t>Gold Nisab = 85g ÷ 31.1035g per troy oz = 2.7315 troy oz × current gold price. Example: if gold = $3,000/oz then Nisab = 2.7315 × $3,000 = $8,194.50. The oz values are stored in cells D44 and D45 below — edit them if your scholar uses different values.</t>
  </si>
  <si>
    <t>Setting</t>
  </si>
  <si>
    <t>Your Value</t>
  </si>
  <si>
    <t>Notes</t>
  </si>
  <si>
    <t>Nisab Standard</t>
  </si>
  <si>
    <t>Gold</t>
  </si>
  <si>
    <t>Gold (85g) or Silver (595g) — Gold is the default used in Zakat Summary</t>
  </si>
  <si>
    <t>Gold Nisab (troy oz)</t>
  </si>
  <si>
    <t>85g ÷ 31.1035 g/oz = 2.7315 oz  |  Change if your scholar uses a different value</t>
  </si>
  <si>
    <t>Silver Nisab (troy oz)</t>
  </si>
  <si>
    <t>595g ÷ 31.1035 g/oz = 19.1358 oz  |  Only relevant if switching to silver standard</t>
  </si>
  <si>
    <t>⚡  CURRENT NISAB CALCULATOR  —  Enter today's gold price to see threshold instantly</t>
  </si>
  <si>
    <t>Today's Gold Price ($/oz)</t>
  </si>
  <si>
    <t>Gold Nisab Today ($)</t>
  </si>
  <si>
    <t>Silver Price ($/oz) — optional</t>
  </si>
  <si>
    <t>Zakat-LogBook v3.0 — ANNUAL ZAKAT SUMMARY</t>
  </si>
  <si>
    <t>One row per Zakat year. Enter the date in col A — Stocks, Cash, and Debts pull automatically from their sheets. Enter gold price + oz. All other cells calculate automatically.</t>
  </si>
  <si>
    <t>Net Zakatable
Assets ($)</t>
  </si>
  <si>
    <t>Nisab
Threshold ($)</t>
  </si>
  <si>
    <t>Zakat Due
(2.5%) ($)</t>
  </si>
  <si>
    <t>Paid This
Period ($)</t>
  </si>
  <si>
    <t>Running
Balance ($)</t>
  </si>
  <si>
    <t>Brought
Forward ($)</t>
  </si>
  <si>
    <t>Enter your Zakat calculation date</t>
  </si>
  <si>
    <t>Auto-pulled from Stocks sheet total for matching date</t>
  </si>
  <si>
    <t>Auto-pulled from Cash sheet total for matching date</t>
  </si>
  <si>
    <t>Auto-pulled from Debts sheet total for matching date</t>
  </si>
  <si>
    <t>Enter gold spot price on this date ($ per troy oz)</t>
  </si>
  <si>
    <t>Enter how many troy oz of gold you own</t>
  </si>
  <si>
    <t>Gold Value = Gold Price × oz (auto-calculated)</t>
  </si>
  <si>
    <t>Net Assets = Stocks + Cash + Gold − Debts</t>
  </si>
  <si>
    <t>Nisab = Gold Price × 2.7315 oz (= 85g). Edit the oz value in Settings D44. Zakat is ONLY due if Net Assets ≥ Nisab.</t>
  </si>
  <si>
    <t>2.5% of Net Assets if ≥ Nisab, else $0. Zakat is on your FULL net wealth, not just the surplus above Nisab.</t>
  </si>
  <si>
    <t>Zakat payments pulled automatically from Ledger entries within this Zakat period</t>
  </si>
  <si>
    <t>Cumulative balance: positive = still owed, zero or negative = fully paid</t>
  </si>
  <si>
    <t>Auto status: ✅ Paid in Full / ⚠️ Partially Paid / ❌ Not Started</t>
  </si>
  <si>
    <t>Unpaid Zakat balance carried forward from the prior year (read-only)</t>
  </si>
  <si>
    <t>ZAKAT SUMMARY DASHBOARD</t>
  </si>
  <si>
    <t>Total Zakat
Owed (All Years)</t>
  </si>
  <si>
    <t>Total Zakat
Paid (Ledger)</t>
  </si>
  <si>
    <t>Total Sadaqah
Paid (Ledger)</t>
  </si>
  <si>
    <t>Total Fitrana
Paid (Ledger)</t>
  </si>
  <si>
    <t>Total Qurbani
Paid (Ledger)</t>
  </si>
  <si>
    <t>Outstanding Balance
(Zakat Owed − Paid)</t>
  </si>
  <si>
    <t>🌙  HAWL TRACKER — Next Zakat Due Date</t>
  </si>
  <si>
    <t>Hawl = one complete lunar year (354 days) of wealth above Nisab. Countdown updates automatically based on your most recent Zakat date in column A.</t>
  </si>
  <si>
    <t>Last Zakat Date</t>
  </si>
  <si>
    <t>Next Due (+354 days)</t>
  </si>
  <si>
    <t>Days Remaining</t>
  </si>
  <si>
    <t>Today (auto)</t>
  </si>
  <si>
    <t>STOCK &amp; INVESTMENT PORTFOLIO</t>
  </si>
  <si>
    <t>Enter the total value of each account on your Zakat calculation date. Match the date to the Zakat Summary row. Total column auto-sums.</t>
  </si>
  <si>
    <t>Date</t>
  </si>
  <si>
    <t>TD Ameritrade</t>
  </si>
  <si>
    <t>Charles Schwab</t>
  </si>
  <si>
    <t>Fidelity</t>
  </si>
  <si>
    <t>Vanguard</t>
  </si>
  <si>
    <t>Robinhood</t>
  </si>
  <si>
    <t>Other Account</t>
  </si>
  <si>
    <t>Total Portfolio</t>
  </si>
  <si>
    <t>CASH &amp; LIQUID ASSETS</t>
  </si>
  <si>
    <t>Enter the total balance of each account on your Zakat calculation date. Match the date to the Zakat Summary row. Total column auto-sums.</t>
  </si>
  <si>
    <t>Chase Checking</t>
  </si>
  <si>
    <t>Chase Savings</t>
  </si>
  <si>
    <t>Bank of America</t>
  </si>
  <si>
    <t>Money Market</t>
  </si>
  <si>
    <t>Cash on Hand</t>
  </si>
  <si>
    <t>Other Liquid</t>
  </si>
  <si>
    <t>Total Cash</t>
  </si>
  <si>
    <t>OUTSTANDING DEBTS</t>
  </si>
  <si>
    <t>Enter current balances of debts on your Zakat calculation date. Match the date to the Zakat Summary row. Total column auto-sums.</t>
  </si>
  <si>
    <t>Chase Credit Card</t>
  </si>
  <si>
    <t>Citi Credit Card</t>
  </si>
  <si>
    <t>Amex Credit Card</t>
  </si>
  <si>
    <t>Car Loan</t>
  </si>
  <si>
    <t>Personal Loan</t>
  </si>
  <si>
    <t>Other Debt</t>
  </si>
  <si>
    <t>Total Debts</t>
  </si>
  <si>
    <t>🔍  Search / Filter:</t>
  </si>
  <si>
    <t>Type any keyword, name, or type — matching rows highlight yellow. Leave blank to show all rows.</t>
  </si>
  <si>
    <t>ZAKAT &amp; SADAQAH LEDGER</t>
  </si>
  <si>
    <t>Record every payment — Zakat, Sadaqah, Fitrana, Qurbani, etc. Amount + Fees = Total Paid. Use the dropdowns for Type, Service, and Given To.</t>
  </si>
  <si>
    <t>Type</t>
  </si>
  <si>
    <t>Service Used</t>
  </si>
  <si>
    <t>Given To</t>
  </si>
  <si>
    <t>Details / Notes</t>
  </si>
  <si>
    <t>Amount ($)</t>
  </si>
  <si>
    <t>Fees ($)</t>
  </si>
  <si>
    <t>Total Paid ($)</t>
  </si>
  <si>
    <t>Running Total ($)</t>
  </si>
  <si>
    <t>Zakat-LogBook v3.0 — PERSON REPORT</t>
  </si>
  <si>
    <t>Select a person from the dropdown in C4. Use the year filter in C5 to narrow results. All cards and the transaction table update automatically.</t>
  </si>
  <si>
    <t>Unique Names</t>
  </si>
  <si>
    <t>Select Person:</t>
  </si>
  <si>
    <t>Total Given:</t>
  </si>
  <si>
    <t># Transactions:</t>
  </si>
  <si>
    <t>Filter by Year:</t>
  </si>
  <si>
    <t>All Years</t>
  </si>
  <si>
    <t>Select a year to filter, or leave as 'All Years'</t>
  </si>
  <si>
    <t>BREAKDOWN BY TYPE  (add types in Settings → Payment Types to extend this table)</t>
  </si>
  <si>
    <t>Total Paid to Selected Person (Amount + Fees)</t>
  </si>
  <si>
    <t>TOTAL (all types)</t>
  </si>
  <si>
    <t>#</t>
  </si>
  <si>
    <t>FEES PAID BY SERVICE — All Time (independent of person / year filter)</t>
  </si>
  <si>
    <t>Service</t>
  </si>
  <si>
    <t>Total Amount ($)</t>
  </si>
  <si>
    <t>Total Fees ($)</t>
  </si>
  <si>
    <t># Payments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</si>
</sst>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
    <numFmt numFmtId="166" formatCode="\$#,##0.00;\(\$#,##0.00\);&quot;-&quot;"/>
    <numFmt numFmtId="167" formatCode="mm/dd/yyyy"/>
    <numFmt numFmtId="168" formatCode="0\ &quot;days&quot;"/>
  </numFmts>
  <fonts count="53" x14ac:knownFonts="1">
    <font>
      <sz val="11"/>
      <color theme="1"/>
      <name val="Calibri"/>
      <family val="2"/>
      <scheme val="minor"/>
    </font>
    <font>
      <b/>
      <sz val="14"/>
      <color rgb="FFFFFFFF"/>
      <name val="Aptos"/>
    </font>
    <font>
      <i/>
      <sz val="9"/>
      <color rgb="FF444444"/>
      <name val="Aptos"/>
    </font>
    <font>
      <b/>
      <sz val="10"/>
      <color rgb="FFFFFFFF"/>
      <name val="Aptos"/>
    </font>
    <font>
      <b/>
      <sz val="9"/>
      <color rgb="FF000000"/>
      <name val="Aptos"/>
    </font>
    <font>
      <sz val="9"/>
      <color rgb="FF000000"/>
      <name val="Aptos"/>
    </font>
    <font>
      <i/>
      <sz val="9"/>
      <color rgb="FF888888"/>
      <name val="Aptos"/>
    </font>
    <font>
      <b/>
      <sz val="13"/>
      <color rgb="FFFFFFFF"/>
      <name val="Aptos"/>
    </font>
    <font>
      <b/>
      <sz val="9"/>
      <color rgb="FFFFFFFF"/>
      <name val="Aptos"/>
    </font>
    <font>
      <b/>
      <sz val="10"/>
      <color rgb="FF0000FF"/>
      <name val="Aptos"/>
    </font>
    <font>
      <sz val="9"/>
      <color rgb="FF444444"/>
      <name val="Aptos"/>
    </font>
    <font>
      <sz val="10"/>
      <color rgb="FF000000"/>
      <name val="Aptos"/>
    </font>
    <font>
      <i/>
      <sz val="8"/>
      <color rgb="FFAAAAAA"/>
      <name val="Aptos"/>
    </font>
    <font>
      <b/>
      <sz val="11"/>
      <color rgb="FFFFFFFF"/>
      <name val="Aptos"/>
    </font>
    <font>
      <sz val="9"/>
      <color rgb="FF333333"/>
      <name val="Aptos"/>
    </font>
    <font>
      <b/>
      <sz val="11"/>
      <color rgb="FF0000FF"/>
      <name val="Aptos"/>
    </font>
    <font>
      <sz val="8"/>
      <color rgb="FF555555"/>
      <name val="Aptos"/>
    </font>
    <font>
      <b/>
      <sz val="13"/>
      <color rgb="FF0000FF"/>
      <name val="Aptos"/>
    </font>
    <font>
      <b/>
      <sz val="13"/>
      <color rgb="FF008000"/>
      <name val="Aptos"/>
    </font>
    <font>
      <i/>
      <sz val="9"/>
      <color rgb="FF666666"/>
      <name val="Aptos"/>
    </font>
    <font>
      <i/>
      <sz val="8"/>
      <color rgb="FFFFFFFF"/>
      <name val="Aptos"/>
    </font>
    <font>
      <sz val="10"/>
      <color rgb="FF0000FF"/>
      <name val="Aptos"/>
    </font>
    <font>
      <sz val="10"/>
      <color rgb="FF008000"/>
      <name val="Aptos"/>
    </font>
    <font>
      <sz val="10"/>
      <color rgb="FFC0392B"/>
      <name val="Aptos"/>
    </font>
    <font>
      <b/>
      <sz val="10"/>
      <color rgb="FF008000"/>
      <name val="Aptos"/>
    </font>
    <font>
      <sz val="10"/>
      <color rgb="FF7D6608"/>
      <name val="Aptos"/>
    </font>
    <font>
      <b/>
      <sz val="10"/>
      <color rgb="FFE67E22"/>
      <name val="Aptos"/>
    </font>
    <font>
      <b/>
      <sz val="10"/>
      <color rgb="FF6C3483"/>
      <name val="Aptos"/>
    </font>
    <font>
      <b/>
      <sz val="10"/>
      <color rgb="FF000000"/>
      <name val="Aptos"/>
    </font>
    <font>
      <b/>
      <sz val="14"/>
      <color rgb="FFE67E22"/>
      <name val="Aptos"/>
    </font>
    <font>
      <b/>
      <sz val="14"/>
      <color rgb="FF008000"/>
      <name val="Aptos"/>
    </font>
    <font>
      <b/>
      <sz val="14"/>
      <color rgb="FF0000FF"/>
      <name val="Aptos"/>
    </font>
    <font>
      <b/>
      <sz val="14"/>
      <color rgb="FF6C3483"/>
      <name val="Aptos"/>
    </font>
    <font>
      <b/>
      <sz val="14"/>
      <color rgb="FF7D6608"/>
      <name val="Aptos"/>
    </font>
    <font>
      <b/>
      <sz val="14"/>
      <color rgb="FFC0392B"/>
      <name val="Aptos"/>
    </font>
    <font>
      <i/>
      <sz val="9"/>
      <color rgb="FF333333"/>
      <name val="Aptos"/>
    </font>
    <font>
      <b/>
      <sz val="11"/>
      <color rgb="FF6C3483"/>
      <name val="Aptos"/>
    </font>
    <font>
      <b/>
      <sz val="11"/>
      <color rgb="FF000000"/>
      <name val="Aptos"/>
    </font>
    <font>
      <b/>
      <sz val="11"/>
      <color rgb="FF888888"/>
      <name val="Aptos"/>
    </font>
    <font>
      <b/>
      <sz val="10"/>
      <color rgb="FFC0392B"/>
      <name val="Aptos"/>
    </font>
    <font>
      <i/>
      <sz val="9"/>
      <color rgb="FF555555"/>
      <name val="Aptos"/>
    </font>
    <font>
      <b/>
      <sz val="9"/>
      <color rgb="FF008000"/>
      <name val="Aptos"/>
    </font>
    <font>
      <sz val="9"/>
      <color rgb="FF0000FF"/>
      <name val="Aptos"/>
    </font>
    <font>
      <b/>
      <sz val="9"/>
      <color rgb="FF6C3483"/>
      <name val="Aptos"/>
    </font>
    <font>
      <sz val="7"/>
      <color rgb="FFAAAAAA"/>
      <name val="Aptos"/>
    </font>
    <font>
      <b/>
      <sz val="12"/>
      <color rgb="FF0000FF"/>
      <name val="Aptos"/>
    </font>
    <font>
      <b/>
      <sz val="12"/>
      <color rgb="FF008000"/>
      <name val="Aptos"/>
    </font>
    <font>
      <b/>
      <sz val="12"/>
      <color rgb="FF6C3483"/>
      <name val="Aptos"/>
    </font>
    <font>
      <sz val="9"/>
      <color rgb="FF008000"/>
      <name val="Aptos"/>
    </font>
    <font>
      <sz val="8"/>
      <color rgb="FFAAAAAA"/>
      <name val="Aptos"/>
    </font>
    <font>
      <sz val="9"/>
      <color rgb="FFC0392B"/>
      <name val="Aptos"/>
    </font>
    <font>
      <sz val="9"/>
      <color rgb="FF6C3483"/>
      <name val="Aptos"/>
    </font>
    <font>
      <sz val="11"/>
      <color theme="1"/>
      <name val="Aptos"/>
    </font>
  </fonts>
  <fills count="40">
    <fill>
      <patternFill patternType="none"/>
    </fill>
    <fill>
      <patternFill patternType="gray125"/>
    </fill>
    <fill>
      <patternFill patternType="solid">
        <fgColor rgb="FF1F4E79"/>
      </patternFill>
    </fill>
    <fill>
      <patternFill patternType="solid">
        <fgColor rgb="FFFFFFFF"/>
      </patternFill>
    </fill>
    <fill>
      <patternFill patternType="solid">
        <fgColor rgb="FF2E75B6"/>
      </patternFill>
    </fill>
    <fill>
      <patternFill patternType="solid">
        <fgColor rgb="FFDBEAFE"/>
      </patternFill>
    </fill>
    <fill>
      <patternFill patternType="solid">
        <fgColor rgb="FFEFF6FF"/>
      </patternFill>
    </fill>
    <fill>
      <patternFill patternType="solid">
        <fgColor rgb="FFD1FAE5"/>
      </patternFill>
    </fill>
    <fill>
      <patternFill patternType="solid">
        <fgColor rgb="FFECFDF5"/>
      </patternFill>
    </fill>
    <fill>
      <patternFill patternType="solid">
        <fgColor rgb="FFFEE2E2"/>
      </patternFill>
    </fill>
    <fill>
      <patternFill patternType="solid">
        <fgColor rgb="FFFFF5F5"/>
      </patternFill>
    </fill>
    <fill>
      <patternFill patternType="solid">
        <fgColor rgb="FFEDE9FE"/>
      </patternFill>
    </fill>
    <fill>
      <patternFill patternType="solid">
        <fgColor rgb="FFF5F3FF"/>
      </patternFill>
    </fill>
    <fill>
      <patternFill patternType="solid">
        <fgColor rgb="FFFFEDD5"/>
      </patternFill>
    </fill>
    <fill>
      <patternFill patternType="solid">
        <fgColor rgb="FFFFF7ED"/>
      </patternFill>
    </fill>
    <fill>
      <patternFill patternType="solid">
        <fgColor rgb="FFFEF9C3"/>
      </patternFill>
    </fill>
    <fill>
      <patternFill patternType="solid">
        <fgColor rgb="FFFEFCE8"/>
      </patternFill>
    </fill>
    <fill>
      <patternFill patternType="solid">
        <fgColor rgb="FFFEF9E7"/>
      </patternFill>
    </fill>
    <fill>
      <patternFill patternType="solid">
        <fgColor rgb="FFFFFDF0"/>
      </patternFill>
    </fill>
    <fill>
      <patternFill patternType="solid">
        <fgColor rgb="FFFDEBD0"/>
      </patternFill>
    </fill>
    <fill>
      <patternFill patternType="solid">
        <fgColor rgb="FFFFFBF5"/>
      </patternFill>
    </fill>
    <fill>
      <patternFill patternType="solid">
        <fgColor rgb="FFFADBD8"/>
      </patternFill>
    </fill>
    <fill>
      <patternFill patternType="solid">
        <fgColor rgb="FFEBF5FB"/>
      </patternFill>
    </fill>
    <fill>
      <patternFill patternType="solid">
        <fgColor rgb="FF4A235A"/>
      </patternFill>
    </fill>
    <fill>
      <patternFill patternType="solid">
        <fgColor rgb="FFE8DAEF"/>
      </patternFill>
    </fill>
    <fill>
      <patternFill patternType="solid">
        <fgColor rgb="FFF9F5FF"/>
      </patternFill>
    </fill>
    <fill>
      <patternFill patternType="solid">
        <fgColor rgb="FFF0F4F8"/>
      </patternFill>
    </fill>
    <fill>
      <patternFill patternType="solid">
        <fgColor rgb="FF3D5A80"/>
      </patternFill>
    </fill>
    <fill>
      <patternFill patternType="solid">
        <fgColor rgb="FFFFFDE7"/>
      </patternFill>
    </fill>
    <fill>
      <patternFill patternType="solid">
        <fgColor rgb="FFD5F5E3"/>
      </patternFill>
    </fill>
    <fill>
      <patternFill patternType="solid">
        <fgColor rgb="FF7D3C02"/>
      </patternFill>
    </fill>
    <fill>
      <patternFill patternType="solid">
        <fgColor rgb="FF2471A3"/>
      </patternFill>
    </fill>
    <fill>
      <patternFill patternType="solid">
        <fgColor rgb="FFF4ECF7"/>
      </patternFill>
    </fill>
    <fill>
      <patternFill patternType="solid">
        <fgColor rgb="FFF8F9FA"/>
      </patternFill>
    </fill>
    <fill>
      <patternFill patternType="solid">
        <fgColor rgb="FFF2F3F4"/>
      </patternFill>
    </fill>
    <fill>
      <patternFill patternType="solid">
        <fgColor rgb="FFC0392B"/>
      </patternFill>
    </fill>
    <fill>
      <patternFill patternType="solid">
        <fgColor rgb="FF6C3483"/>
      </patternFill>
    </fill>
    <fill>
      <patternFill patternType="solid">
        <fgColor rgb="FFF0EAF8"/>
      </patternFill>
    </fill>
    <fill>
      <patternFill patternType="solid">
        <fgColor rgb="FFE8DCF5"/>
      </patternFill>
    </fill>
    <fill>
      <patternFill patternType="solid">
        <fgColor rgb="FFE8F8F5"/>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s>
  <cellStyleXfs count="1">
    <xf numFmtId="0" fontId="0" fillId="0" borderId="0"/>
  </cellStyleXfs>
  <cellXfs count="124">
    <xf numFmtId="0" fontId="0" fillId="0" borderId="0" xfId="0"/>
    <xf numFmtId="0" fontId="52" fillId="0" borderId="0" xfId="0" applyFont="1"/>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center"/>
    </xf>
    <xf numFmtId="0" fontId="5" fillId="6" borderId="1" xfId="0" applyFont="1" applyFill="1" applyBorder="1" applyAlignment="1">
      <alignment horizontal="left" vertical="center" wrapText="1"/>
    </xf>
    <xf numFmtId="0" fontId="4" fillId="7" borderId="1" xfId="0" applyFont="1" applyFill="1" applyBorder="1" applyAlignment="1">
      <alignment horizontal="left" vertical="center"/>
    </xf>
    <xf numFmtId="0" fontId="5" fillId="8" borderId="1" xfId="0" applyFont="1" applyFill="1" applyBorder="1" applyAlignment="1">
      <alignment horizontal="left" vertical="center" wrapText="1"/>
    </xf>
    <xf numFmtId="0" fontId="4" fillId="9" borderId="1" xfId="0" applyFont="1" applyFill="1" applyBorder="1" applyAlignment="1">
      <alignment horizontal="left" vertical="center"/>
    </xf>
    <xf numFmtId="0" fontId="5" fillId="10" borderId="1" xfId="0" applyFont="1" applyFill="1" applyBorder="1" applyAlignment="1">
      <alignment horizontal="left" vertical="center" wrapText="1"/>
    </xf>
    <xf numFmtId="0" fontId="4" fillId="11" borderId="1" xfId="0" applyFont="1" applyFill="1" applyBorder="1" applyAlignment="1">
      <alignment horizontal="left" vertical="center"/>
    </xf>
    <xf numFmtId="0" fontId="5" fillId="12" borderId="1" xfId="0" applyFont="1" applyFill="1" applyBorder="1" applyAlignment="1">
      <alignment horizontal="left" vertical="center" wrapText="1"/>
    </xf>
    <xf numFmtId="0" fontId="4" fillId="13" borderId="1" xfId="0" applyFont="1" applyFill="1" applyBorder="1" applyAlignment="1">
      <alignment horizontal="left" vertical="center"/>
    </xf>
    <xf numFmtId="0" fontId="5" fillId="14" borderId="1" xfId="0" applyFont="1" applyFill="1" applyBorder="1" applyAlignment="1">
      <alignment horizontal="left" vertical="center" wrapText="1"/>
    </xf>
    <xf numFmtId="0" fontId="4" fillId="15" borderId="1" xfId="0" applyFont="1" applyFill="1" applyBorder="1" applyAlignment="1">
      <alignment horizontal="left" vertical="center"/>
    </xf>
    <xf numFmtId="0" fontId="5" fillId="16" borderId="1" xfId="0" applyFont="1" applyFill="1" applyBorder="1" applyAlignment="1">
      <alignment horizontal="left" vertical="center" wrapText="1"/>
    </xf>
    <xf numFmtId="0" fontId="4" fillId="17" borderId="1" xfId="0" applyFont="1" applyFill="1" applyBorder="1" applyAlignment="1">
      <alignment horizontal="left" vertical="center"/>
    </xf>
    <xf numFmtId="0" fontId="5" fillId="18" borderId="1" xfId="0" applyFont="1" applyFill="1" applyBorder="1" applyAlignment="1">
      <alignment horizontal="left" vertical="center" wrapText="1"/>
    </xf>
    <xf numFmtId="0" fontId="4" fillId="19" borderId="1" xfId="0" applyFont="1" applyFill="1" applyBorder="1" applyAlignment="1">
      <alignment horizontal="left" vertical="center"/>
    </xf>
    <xf numFmtId="0" fontId="5" fillId="20" borderId="1" xfId="0" applyFont="1" applyFill="1" applyBorder="1" applyAlignment="1">
      <alignment horizontal="left" vertical="center" wrapText="1"/>
    </xf>
    <xf numFmtId="0" fontId="4" fillId="21" borderId="1" xfId="0" applyFont="1" applyFill="1" applyBorder="1" applyAlignment="1">
      <alignment horizontal="left" vertical="center"/>
    </xf>
    <xf numFmtId="0" fontId="4" fillId="22" borderId="1" xfId="0" applyFont="1" applyFill="1" applyBorder="1" applyAlignment="1">
      <alignment horizontal="left" vertical="center"/>
    </xf>
    <xf numFmtId="0" fontId="5" fillId="3" borderId="1" xfId="0" applyFont="1" applyFill="1" applyBorder="1" applyAlignment="1">
      <alignment horizontal="left" vertical="center" wrapText="1"/>
    </xf>
    <xf numFmtId="0" fontId="4" fillId="24" borderId="1" xfId="0" applyFont="1" applyFill="1" applyBorder="1" applyAlignment="1">
      <alignment horizontal="left" vertical="center"/>
    </xf>
    <xf numFmtId="0" fontId="5" fillId="25" borderId="1" xfId="0" applyFont="1" applyFill="1" applyBorder="1" applyAlignment="1">
      <alignment horizontal="left" vertical="center" wrapText="1"/>
    </xf>
    <xf numFmtId="0" fontId="8" fillId="27" borderId="1" xfId="0" applyFont="1" applyFill="1" applyBorder="1" applyAlignment="1">
      <alignment horizontal="center" vertical="center" wrapText="1"/>
    </xf>
    <xf numFmtId="0" fontId="9" fillId="22" borderId="1" xfId="0" applyFont="1" applyFill="1" applyBorder="1" applyAlignment="1">
      <alignment horizontal="left" vertical="center"/>
    </xf>
    <xf numFmtId="0" fontId="10" fillId="26" borderId="1" xfId="0" applyFont="1" applyFill="1" applyBorder="1" applyAlignment="1">
      <alignment horizontal="left" vertical="center"/>
    </xf>
    <xf numFmtId="0" fontId="10" fillId="3" borderId="1" xfId="0" applyFont="1" applyFill="1" applyBorder="1" applyAlignment="1">
      <alignment horizontal="left" vertical="center"/>
    </xf>
    <xf numFmtId="0" fontId="11" fillId="26" borderId="1" xfId="0" applyFont="1" applyFill="1" applyBorder="1" applyAlignment="1">
      <alignment horizontal="left" vertical="center"/>
    </xf>
    <xf numFmtId="0" fontId="11" fillId="3" borderId="1" xfId="0" applyFont="1" applyFill="1" applyBorder="1" applyAlignment="1">
      <alignment horizontal="left" vertical="center"/>
    </xf>
    <xf numFmtId="0" fontId="12" fillId="3" borderId="1" xfId="0" applyFont="1" applyFill="1" applyBorder="1" applyAlignment="1">
      <alignment horizontal="left" vertical="center"/>
    </xf>
    <xf numFmtId="0" fontId="8" fillId="4" borderId="1" xfId="0" applyFont="1" applyFill="1" applyBorder="1" applyAlignment="1">
      <alignment horizontal="center" vertical="center" wrapText="1"/>
    </xf>
    <xf numFmtId="165" fontId="17" fillId="28" borderId="4" xfId="0" applyNumberFormat="1" applyFont="1" applyFill="1" applyBorder="1" applyAlignment="1">
      <alignment horizontal="center" vertical="center"/>
    </xf>
    <xf numFmtId="166" fontId="18" fillId="29" borderId="4" xfId="0" applyNumberFormat="1" applyFont="1" applyFill="1" applyBorder="1" applyAlignment="1">
      <alignment horizontal="center" vertical="center"/>
    </xf>
    <xf numFmtId="165" fontId="15" fillId="28" borderId="4" xfId="0" applyNumberFormat="1" applyFont="1" applyFill="1" applyBorder="1" applyAlignment="1">
      <alignment horizontal="center" vertical="center"/>
    </xf>
    <xf numFmtId="0" fontId="19" fillId="26"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30" borderId="1" xfId="0" applyFont="1" applyFill="1" applyBorder="1" applyAlignment="1">
      <alignment horizontal="center" vertical="center" wrapText="1"/>
    </xf>
    <xf numFmtId="0" fontId="20" fillId="31" borderId="1" xfId="0" applyFont="1" applyFill="1" applyBorder="1" applyAlignment="1">
      <alignment horizontal="center" vertical="center" wrapText="1"/>
    </xf>
    <xf numFmtId="167" fontId="21" fillId="22" borderId="1" xfId="0" applyNumberFormat="1" applyFont="1" applyFill="1" applyBorder="1" applyAlignment="1">
      <alignment horizontal="center" vertical="center"/>
    </xf>
    <xf numFmtId="166" fontId="22" fillId="29" borderId="1" xfId="0" applyNumberFormat="1" applyFont="1" applyFill="1" applyBorder="1" applyAlignment="1">
      <alignment horizontal="right" vertical="center"/>
    </xf>
    <xf numFmtId="166" fontId="23" fillId="21" borderId="1" xfId="0" applyNumberFormat="1" applyFont="1" applyFill="1" applyBorder="1" applyAlignment="1">
      <alignment horizontal="right" vertical="center"/>
    </xf>
    <xf numFmtId="166" fontId="21" fillId="22" borderId="1" xfId="0" applyNumberFormat="1" applyFont="1" applyFill="1" applyBorder="1" applyAlignment="1">
      <alignment horizontal="right" vertical="center"/>
    </xf>
    <xf numFmtId="164" fontId="21" fillId="22" borderId="1" xfId="0" applyNumberFormat="1" applyFont="1" applyFill="1" applyBorder="1" applyAlignment="1">
      <alignment horizontal="right" vertical="center"/>
    </xf>
    <xf numFmtId="166" fontId="24" fillId="29" borderId="1" xfId="0" applyNumberFormat="1" applyFont="1" applyFill="1" applyBorder="1" applyAlignment="1">
      <alignment horizontal="right" vertical="center"/>
    </xf>
    <xf numFmtId="166" fontId="25" fillId="17" borderId="1" xfId="0" applyNumberFormat="1" applyFont="1" applyFill="1" applyBorder="1" applyAlignment="1">
      <alignment horizontal="right" vertical="center"/>
    </xf>
    <xf numFmtId="166" fontId="26" fillId="19" borderId="1" xfId="0" applyNumberFormat="1" applyFont="1" applyFill="1" applyBorder="1" applyAlignment="1">
      <alignment horizontal="right" vertical="center"/>
    </xf>
    <xf numFmtId="166" fontId="27" fillId="32" borderId="1" xfId="0" applyNumberFormat="1" applyFont="1" applyFill="1" applyBorder="1" applyAlignment="1">
      <alignment horizontal="right" vertical="center"/>
    </xf>
    <xf numFmtId="0" fontId="28" fillId="33" borderId="1" xfId="0" applyFont="1" applyFill="1" applyBorder="1" applyAlignment="1">
      <alignment horizontal="center" vertical="center"/>
    </xf>
    <xf numFmtId="166" fontId="28" fillId="17" borderId="1" xfId="0" applyNumberFormat="1" applyFont="1" applyFill="1" applyBorder="1" applyAlignment="1">
      <alignment horizontal="right" vertical="center"/>
    </xf>
    <xf numFmtId="166" fontId="21" fillId="26" borderId="1" xfId="0" applyNumberFormat="1" applyFont="1" applyFill="1" applyBorder="1" applyAlignment="1">
      <alignment horizontal="right" vertical="center"/>
    </xf>
    <xf numFmtId="166" fontId="21" fillId="3" borderId="1" xfId="0" applyNumberFormat="1" applyFont="1" applyFill="1" applyBorder="1" applyAlignment="1">
      <alignment horizontal="right" vertical="center"/>
    </xf>
    <xf numFmtId="0" fontId="8" fillId="35" borderId="1" xfId="0" applyFont="1" applyFill="1" applyBorder="1" applyAlignment="1">
      <alignment horizontal="center" vertical="center" wrapText="1"/>
    </xf>
    <xf numFmtId="166" fontId="39" fillId="21" borderId="1" xfId="0" applyNumberFormat="1" applyFont="1" applyFill="1" applyBorder="1" applyAlignment="1">
      <alignment horizontal="right" vertical="center"/>
    </xf>
    <xf numFmtId="166" fontId="23" fillId="3" borderId="1" xfId="0" applyNumberFormat="1" applyFont="1" applyFill="1" applyBorder="1" applyAlignment="1">
      <alignment horizontal="right" vertical="center"/>
    </xf>
    <xf numFmtId="0" fontId="15" fillId="28" borderId="4" xfId="0" applyFont="1" applyFill="1" applyBorder="1" applyAlignment="1">
      <alignment horizontal="left" vertical="center"/>
    </xf>
    <xf numFmtId="0" fontId="8" fillId="36" borderId="1" xfId="0" applyFont="1" applyFill="1" applyBorder="1" applyAlignment="1">
      <alignment horizontal="center" vertical="center" wrapText="1"/>
    </xf>
    <xf numFmtId="0" fontId="5" fillId="37" borderId="1" xfId="0" applyFont="1" applyFill="1" applyBorder="1" applyAlignment="1">
      <alignment horizontal="left" vertical="center"/>
    </xf>
    <xf numFmtId="166" fontId="42" fillId="22" borderId="1" xfId="0" applyNumberFormat="1" applyFont="1" applyFill="1" applyBorder="1" applyAlignment="1">
      <alignment horizontal="right" vertical="center"/>
    </xf>
    <xf numFmtId="166" fontId="41" fillId="29" borderId="1" xfId="0" applyNumberFormat="1" applyFont="1" applyFill="1" applyBorder="1" applyAlignment="1">
      <alignment horizontal="right" vertical="center"/>
    </xf>
    <xf numFmtId="166" fontId="43" fillId="37" borderId="1" xfId="0" applyNumberFormat="1" applyFont="1" applyFill="1" applyBorder="1" applyAlignment="1">
      <alignment horizontal="right" vertical="center"/>
    </xf>
    <xf numFmtId="0" fontId="5" fillId="38" borderId="1" xfId="0" applyFont="1" applyFill="1" applyBorder="1" applyAlignment="1">
      <alignment horizontal="left" vertical="center"/>
    </xf>
    <xf numFmtId="166" fontId="43" fillId="38" borderId="1" xfId="0" applyNumberFormat="1" applyFont="1" applyFill="1" applyBorder="1" applyAlignment="1">
      <alignment horizontal="right" vertical="center"/>
    </xf>
    <xf numFmtId="0" fontId="44" fillId="3" borderId="1" xfId="0" applyFont="1" applyFill="1" applyBorder="1" applyAlignment="1">
      <alignment horizontal="center" vertical="center"/>
    </xf>
    <xf numFmtId="0" fontId="45" fillId="39" borderId="4" xfId="0" applyFont="1" applyFill="1" applyBorder="1" applyAlignment="1">
      <alignment horizontal="center" vertical="center"/>
    </xf>
    <xf numFmtId="0" fontId="47" fillId="32" borderId="4" xfId="0" applyFont="1" applyFill="1" applyBorder="1" applyAlignment="1">
      <alignment horizontal="center" vertical="center"/>
    </xf>
    <xf numFmtId="0" fontId="15" fillId="39" borderId="4" xfId="0" applyFont="1" applyFill="1" applyBorder="1" applyAlignment="1">
      <alignment horizontal="center" vertical="center"/>
    </xf>
    <xf numFmtId="0" fontId="49" fillId="33" borderId="1" xfId="0" applyFont="1" applyFill="1" applyBorder="1" applyAlignment="1">
      <alignment horizontal="center" vertical="center"/>
    </xf>
    <xf numFmtId="167" fontId="5" fillId="33" borderId="1" xfId="0" applyNumberFormat="1" applyFont="1" applyFill="1" applyBorder="1" applyAlignment="1">
      <alignment horizontal="left" vertical="center"/>
    </xf>
    <xf numFmtId="0" fontId="5" fillId="33" borderId="1" xfId="0" applyFont="1" applyFill="1" applyBorder="1" applyAlignment="1">
      <alignment horizontal="left" vertical="center"/>
    </xf>
    <xf numFmtId="166" fontId="48" fillId="33" borderId="1" xfId="0" applyNumberFormat="1" applyFont="1" applyFill="1" applyBorder="1" applyAlignment="1">
      <alignment horizontal="left" vertical="center"/>
    </xf>
    <xf numFmtId="0" fontId="49" fillId="3" borderId="1" xfId="0" applyFont="1" applyFill="1" applyBorder="1" applyAlignment="1">
      <alignment horizontal="center" vertical="center"/>
    </xf>
    <xf numFmtId="167" fontId="5" fillId="3" borderId="1" xfId="0" applyNumberFormat="1" applyFont="1" applyFill="1" applyBorder="1" applyAlignment="1">
      <alignment horizontal="left" vertical="center"/>
    </xf>
    <xf numFmtId="0" fontId="5" fillId="3" borderId="1" xfId="0" applyFont="1" applyFill="1" applyBorder="1" applyAlignment="1">
      <alignment horizontal="left" vertical="center"/>
    </xf>
    <xf numFmtId="166" fontId="48" fillId="3" borderId="1" xfId="0" applyNumberFormat="1" applyFont="1" applyFill="1" applyBorder="1" applyAlignment="1">
      <alignment horizontal="left" vertical="center"/>
    </xf>
    <xf numFmtId="0" fontId="1" fillId="2" borderId="1" xfId="0" applyFont="1" applyFill="1" applyBorder="1" applyAlignment="1">
      <alignment horizontal="center" vertical="center" wrapText="1"/>
    </xf>
    <xf numFmtId="0" fontId="52" fillId="0" borderId="2" xfId="0" applyFont="1" applyBorder="1"/>
    <xf numFmtId="0" fontId="52" fillId="0" borderId="3" xfId="0" applyFont="1" applyBorder="1"/>
    <xf numFmtId="0" fontId="3"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2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8" fillId="27" borderId="1" xfId="0" applyFont="1" applyFill="1" applyBorder="1" applyAlignment="1">
      <alignment horizontal="center" vertical="center" wrapText="1"/>
    </xf>
    <xf numFmtId="0" fontId="16" fillId="26" borderId="1" xfId="0" applyFont="1" applyFill="1" applyBorder="1" applyAlignment="1">
      <alignment horizontal="left" vertical="center" wrapText="1"/>
    </xf>
    <xf numFmtId="0" fontId="14" fillId="26"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164" fontId="15" fillId="17" borderId="4" xfId="0" applyNumberFormat="1" applyFont="1" applyFill="1" applyBorder="1" applyAlignment="1">
      <alignment horizontal="center" vertical="center"/>
    </xf>
    <xf numFmtId="0" fontId="52" fillId="0" borderId="5" xfId="0" applyFont="1" applyBorder="1"/>
    <xf numFmtId="0" fontId="4" fillId="26" borderId="1" xfId="0" applyFont="1" applyFill="1" applyBorder="1" applyAlignment="1">
      <alignment horizontal="left" vertical="center"/>
    </xf>
    <xf numFmtId="0" fontId="13" fillId="2" borderId="1" xfId="0" applyFont="1" applyFill="1" applyBorder="1" applyAlignment="1">
      <alignment horizontal="center" vertical="center" wrapText="1"/>
    </xf>
    <xf numFmtId="0" fontId="15" fillId="17" borderId="4" xfId="0" applyFont="1" applyFill="1" applyBorder="1" applyAlignment="1">
      <alignment horizontal="center" vertical="center"/>
    </xf>
    <xf numFmtId="0" fontId="2" fillId="26"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52" fillId="0" borderId="0" xfId="0" applyFont="1"/>
    <xf numFmtId="166" fontId="34" fillId="21" borderId="4" xfId="0" applyNumberFormat="1" applyFont="1" applyFill="1" applyBorder="1" applyAlignment="1">
      <alignment horizontal="center" vertical="center"/>
    </xf>
    <xf numFmtId="0" fontId="52" fillId="0" borderId="6" xfId="0" applyFont="1" applyBorder="1"/>
    <xf numFmtId="167" fontId="15" fillId="22" borderId="1" xfId="0" applyNumberFormat="1" applyFont="1" applyFill="1" applyBorder="1" applyAlignment="1">
      <alignment horizontal="center" vertical="center"/>
    </xf>
    <xf numFmtId="167" fontId="36" fillId="32" borderId="1" xfId="0" applyNumberFormat="1" applyFont="1" applyFill="1" applyBorder="1" applyAlignment="1">
      <alignment horizontal="center" vertical="center"/>
    </xf>
    <xf numFmtId="166" fontId="31" fillId="22" borderId="4" xfId="0" applyNumberFormat="1" applyFont="1" applyFill="1" applyBorder="1" applyAlignment="1">
      <alignment horizontal="center" vertical="center"/>
    </xf>
    <xf numFmtId="166" fontId="32" fillId="32" borderId="4" xfId="0" applyNumberFormat="1" applyFont="1" applyFill="1" applyBorder="1" applyAlignment="1">
      <alignment horizontal="center" vertical="center"/>
    </xf>
    <xf numFmtId="0" fontId="37" fillId="33" borderId="1" xfId="0" applyFont="1" applyFill="1" applyBorder="1" applyAlignment="1">
      <alignment horizontal="center" vertical="center"/>
    </xf>
    <xf numFmtId="167" fontId="38" fillId="34" borderId="1" xfId="0" applyNumberFormat="1" applyFont="1" applyFill="1" applyBorder="1" applyAlignment="1">
      <alignment horizontal="center" vertical="center"/>
    </xf>
    <xf numFmtId="0" fontId="35" fillId="26" borderId="1" xfId="0" applyFont="1" applyFill="1" applyBorder="1" applyAlignment="1">
      <alignment horizontal="center" vertical="center" wrapText="1"/>
    </xf>
    <xf numFmtId="168" fontId="37" fillId="17" borderId="1" xfId="0" applyNumberFormat="1" applyFont="1" applyFill="1" applyBorder="1" applyAlignment="1">
      <alignment horizontal="center" vertical="center"/>
    </xf>
    <xf numFmtId="166" fontId="29" fillId="19" borderId="4" xfId="0" applyNumberFormat="1" applyFont="1" applyFill="1" applyBorder="1" applyAlignment="1">
      <alignment horizontal="center" vertical="center"/>
    </xf>
    <xf numFmtId="166" fontId="30" fillId="29" borderId="4" xfId="0" applyNumberFormat="1" applyFont="1" applyFill="1" applyBorder="1" applyAlignment="1">
      <alignment horizontal="center" vertical="center"/>
    </xf>
    <xf numFmtId="166" fontId="33" fillId="17" borderId="4" xfId="0" applyNumberFormat="1" applyFont="1" applyFill="1" applyBorder="1" applyAlignment="1">
      <alignment horizontal="center" vertical="center"/>
    </xf>
    <xf numFmtId="0" fontId="41" fillId="29" borderId="1" xfId="0" applyFont="1" applyFill="1" applyBorder="1" applyAlignment="1">
      <alignment horizontal="center" vertical="center"/>
    </xf>
    <xf numFmtId="0" fontId="3" fillId="4" borderId="1" xfId="0" applyFont="1" applyFill="1" applyBorder="1" applyAlignment="1">
      <alignment horizontal="right" vertical="center"/>
    </xf>
    <xf numFmtId="0" fontId="40" fillId="33" borderId="1" xfId="0" applyFont="1" applyFill="1" applyBorder="1" applyAlignment="1">
      <alignment horizontal="left" vertical="center" wrapText="1"/>
    </xf>
    <xf numFmtId="0" fontId="51" fillId="33" borderId="1" xfId="0" applyFont="1" applyFill="1" applyBorder="1" applyAlignment="1">
      <alignment horizontal="center" vertical="center"/>
    </xf>
    <xf numFmtId="166" fontId="48" fillId="3" borderId="1" xfId="0" applyNumberFormat="1" applyFont="1" applyFill="1" applyBorder="1" applyAlignment="1">
      <alignment horizontal="right" vertical="center"/>
    </xf>
    <xf numFmtId="166" fontId="48" fillId="33" borderId="1" xfId="0" applyNumberFormat="1" applyFont="1" applyFill="1" applyBorder="1" applyAlignment="1">
      <alignment horizontal="right" vertical="center"/>
    </xf>
    <xf numFmtId="166" fontId="50" fillId="33" borderId="1" xfId="0" applyNumberFormat="1" applyFont="1" applyFill="1" applyBorder="1" applyAlignment="1">
      <alignment horizontal="right" vertical="center"/>
    </xf>
    <xf numFmtId="0" fontId="4" fillId="3" borderId="1" xfId="0" applyFont="1" applyFill="1" applyBorder="1" applyAlignment="1">
      <alignment horizontal="left" vertical="center"/>
    </xf>
    <xf numFmtId="0" fontId="51" fillId="3" borderId="1" xfId="0" applyFont="1" applyFill="1" applyBorder="1" applyAlignment="1">
      <alignment horizontal="center" vertical="center"/>
    </xf>
    <xf numFmtId="166" fontId="50" fillId="3" borderId="1" xfId="0" applyNumberFormat="1" applyFont="1" applyFill="1" applyBorder="1" applyAlignment="1">
      <alignment horizontal="right" vertical="center"/>
    </xf>
    <xf numFmtId="166" fontId="48" fillId="26" borderId="1" xfId="0" applyNumberFormat="1" applyFont="1" applyFill="1" applyBorder="1" applyAlignment="1">
      <alignment horizontal="right" vertical="center"/>
    </xf>
    <xf numFmtId="0" fontId="4" fillId="33" borderId="1" xfId="0" applyFont="1" applyFill="1" applyBorder="1" applyAlignment="1">
      <alignment horizontal="left" vertical="center"/>
    </xf>
    <xf numFmtId="0" fontId="40" fillId="33" borderId="1" xfId="0" applyFont="1" applyFill="1" applyBorder="1" applyAlignment="1">
      <alignment horizontal="left" vertical="center"/>
    </xf>
    <xf numFmtId="166" fontId="46" fillId="29" borderId="4" xfId="0" applyNumberFormat="1" applyFont="1" applyFill="1" applyBorder="1" applyAlignment="1">
      <alignment horizontal="center" vertical="center"/>
    </xf>
    <xf numFmtId="166" fontId="24" fillId="29" borderId="4" xfId="0" applyNumberFormat="1" applyFont="1" applyFill="1" applyBorder="1" applyAlignment="1">
      <alignment horizontal="right" vertical="center"/>
    </xf>
    <xf numFmtId="0" fontId="13"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cellXfs>
  <cellStyles count="1">
    <cellStyle name="Normal" xfId="0" builtinId="0"/>
  </cellStyles>
  <dxfs count="9">
    <dxf>
      <font>
        <b/>
        <color rgb="FF1A1A1A"/>
        <name val="Aptos"/>
      </font>
      <fill>
        <patternFill patternType="solid">
          <fgColor rgb="FFFFF176"/>
          <bgColor rgb="FFFFF176"/>
        </patternFill>
      </fill>
    </dxf>
    <dxf>
      <font>
        <b/>
        <color rgb="FFC0392B"/>
        <name val="Aptos"/>
      </font>
      <fill>
        <patternFill patternType="solid">
          <fgColor rgb="FFFADBD8"/>
          <bgColor rgb="FFFADBD8"/>
        </patternFill>
      </fill>
    </dxf>
    <dxf>
      <font>
        <b/>
        <color rgb="FFC0392B"/>
        <name val="Aptos"/>
      </font>
      <fill>
        <patternFill patternType="solid">
          <fgColor rgb="FFFADBD8"/>
          <bgColor rgb="FFFADBD8"/>
        </patternFill>
      </fill>
    </dxf>
    <dxf>
      <font>
        <b/>
        <color rgb="FFE67E22"/>
        <name val="Aptos"/>
      </font>
      <fill>
        <patternFill patternType="solid">
          <fgColor rgb="FFFDEBD0"/>
          <bgColor rgb="FFFDEBD0"/>
        </patternFill>
      </fill>
    </dxf>
    <dxf>
      <font>
        <b/>
        <color rgb="FF008000"/>
        <name val="Aptos"/>
      </font>
      <fill>
        <patternFill patternType="solid">
          <fgColor rgb="FFD5F5E3"/>
          <bgColor rgb="FFD5F5E3"/>
        </patternFill>
      </fill>
    </dxf>
    <dxf>
      <font>
        <b/>
        <color rgb="FF008000"/>
        <name val="Aptos"/>
      </font>
      <fill>
        <patternFill patternType="solid">
          <fgColor rgb="FFD5F5E3"/>
          <bgColor rgb="FFD5F5E3"/>
        </patternFill>
      </fill>
    </dxf>
    <dxf>
      <font>
        <b/>
        <color rgb="FFE67E22"/>
        <name val="Aptos"/>
      </font>
      <fill>
        <patternFill patternType="solid">
          <fgColor rgb="FFFDEBD0"/>
          <bgColor rgb="FFFDEBD0"/>
        </patternFill>
      </fill>
    </dxf>
    <dxf>
      <font>
        <b/>
        <color rgb="FFC0392B"/>
        <name val="Aptos"/>
      </font>
      <fill>
        <patternFill patternType="solid">
          <fgColor rgb="FFFADBD8"/>
          <bgColor rgb="FFFADBD8"/>
        </patternFill>
      </fill>
    </dxf>
    <dxf>
      <font>
        <b/>
        <color rgb="FFC0392B"/>
        <name val="Aptos"/>
      </font>
      <fill>
        <patternFill patternType="solid">
          <fgColor rgb="FFFFCCCC"/>
          <bgColor rgb="FFFF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9"/>
  <sheetViews>
    <sheetView showGridLines="0" tabSelected="1" topLeftCell="A26" workbookViewId="0">
      <selection sqref="A1:D1"/>
    </sheetView>
  </sheetViews>
  <sheetFormatPr defaultRowHeight="14.5" x14ac:dyDescent="0.35"/>
  <cols>
    <col min="1" max="1" width="3" customWidth="1"/>
    <col min="2" max="2" width="26" customWidth="1"/>
    <col min="3" max="3" width="3" customWidth="1"/>
    <col min="4" max="4" width="70" customWidth="1"/>
    <col min="5" max="5" width="3" customWidth="1"/>
  </cols>
  <sheetData>
    <row r="1" spans="1:4" ht="32" customHeight="1" x14ac:dyDescent="0.35">
      <c r="A1" s="75" t="s">
        <v>0</v>
      </c>
      <c r="B1" s="76"/>
      <c r="C1" s="76"/>
      <c r="D1" s="77"/>
    </row>
    <row r="2" spans="1:4" ht="22" customHeight="1" x14ac:dyDescent="0.35">
      <c r="A2" s="81" t="s">
        <v>1</v>
      </c>
      <c r="B2" s="76"/>
      <c r="C2" s="76"/>
      <c r="D2" s="77"/>
    </row>
    <row r="3" spans="1:4" ht="8" customHeight="1" x14ac:dyDescent="0.35">
      <c r="A3" s="1"/>
      <c r="B3" s="1"/>
      <c r="C3" s="1"/>
      <c r="D3" s="1"/>
    </row>
    <row r="4" spans="1:4" ht="26" customHeight="1" x14ac:dyDescent="0.35">
      <c r="A4" s="78" t="s">
        <v>2</v>
      </c>
      <c r="B4" s="76"/>
      <c r="C4" s="76"/>
      <c r="D4" s="77"/>
    </row>
    <row r="5" spans="1:4" ht="24" customHeight="1" x14ac:dyDescent="0.35">
      <c r="A5" s="1"/>
      <c r="B5" s="3" t="s">
        <v>3</v>
      </c>
      <c r="C5" s="1"/>
      <c r="D5" s="4" t="s">
        <v>4</v>
      </c>
    </row>
    <row r="6" spans="1:4" ht="24" customHeight="1" x14ac:dyDescent="0.35">
      <c r="A6" s="1"/>
      <c r="B6" s="5" t="s">
        <v>5</v>
      </c>
      <c r="C6" s="1"/>
      <c r="D6" s="6" t="s">
        <v>6</v>
      </c>
    </row>
    <row r="7" spans="1:4" ht="24" customHeight="1" x14ac:dyDescent="0.35">
      <c r="A7" s="1"/>
      <c r="B7" s="7" t="s">
        <v>7</v>
      </c>
      <c r="C7" s="1"/>
      <c r="D7" s="8" t="s">
        <v>8</v>
      </c>
    </row>
    <row r="8" spans="1:4" ht="24" customHeight="1" x14ac:dyDescent="0.35">
      <c r="A8" s="1"/>
      <c r="B8" s="9" t="s">
        <v>9</v>
      </c>
      <c r="C8" s="1"/>
      <c r="D8" s="10" t="s">
        <v>10</v>
      </c>
    </row>
    <row r="9" spans="1:4" ht="24" customHeight="1" x14ac:dyDescent="0.35">
      <c r="A9" s="1"/>
      <c r="B9" s="11" t="s">
        <v>11</v>
      </c>
      <c r="C9" s="1"/>
      <c r="D9" s="12" t="s">
        <v>12</v>
      </c>
    </row>
    <row r="10" spans="1:4" ht="24" customHeight="1" x14ac:dyDescent="0.35">
      <c r="A10" s="1"/>
      <c r="B10" s="13" t="s">
        <v>13</v>
      </c>
      <c r="C10" s="1"/>
      <c r="D10" s="14" t="s">
        <v>14</v>
      </c>
    </row>
    <row r="11" spans="1:4" ht="24" customHeight="1" x14ac:dyDescent="0.35">
      <c r="A11" s="1"/>
      <c r="B11" s="15" t="s">
        <v>15</v>
      </c>
      <c r="C11" s="1"/>
      <c r="D11" s="16" t="s">
        <v>16</v>
      </c>
    </row>
    <row r="12" spans="1:4" ht="24" customHeight="1" x14ac:dyDescent="0.35">
      <c r="A12" s="1"/>
      <c r="B12" s="17" t="s">
        <v>17</v>
      </c>
      <c r="C12" s="1"/>
      <c r="D12" s="18" t="s">
        <v>18</v>
      </c>
    </row>
    <row r="13" spans="1:4" ht="24" customHeight="1" x14ac:dyDescent="0.35">
      <c r="A13" s="1"/>
      <c r="B13" s="19" t="s">
        <v>19</v>
      </c>
      <c r="C13" s="1"/>
      <c r="D13" s="8" t="s">
        <v>20</v>
      </c>
    </row>
    <row r="14" spans="1:4" ht="8" customHeight="1" x14ac:dyDescent="0.35">
      <c r="A14" s="1"/>
      <c r="B14" s="1"/>
      <c r="C14" s="1"/>
      <c r="D14" s="1"/>
    </row>
    <row r="15" spans="1:4" ht="26" customHeight="1" x14ac:dyDescent="0.35">
      <c r="A15" s="78" t="s">
        <v>21</v>
      </c>
      <c r="B15" s="76"/>
      <c r="C15" s="76"/>
      <c r="D15" s="77"/>
    </row>
    <row r="16" spans="1:4" ht="24" customHeight="1" x14ac:dyDescent="0.35">
      <c r="A16" s="1"/>
      <c r="B16" s="20" t="s">
        <v>22</v>
      </c>
      <c r="C16" s="1"/>
      <c r="D16" s="21" t="s">
        <v>23</v>
      </c>
    </row>
    <row r="17" spans="1:4" ht="24" customHeight="1" x14ac:dyDescent="0.35">
      <c r="A17" s="1"/>
      <c r="B17" s="20" t="s">
        <v>24</v>
      </c>
      <c r="C17" s="1"/>
      <c r="D17" s="21" t="s">
        <v>25</v>
      </c>
    </row>
    <row r="18" spans="1:4" ht="24" customHeight="1" x14ac:dyDescent="0.35">
      <c r="A18" s="1"/>
      <c r="B18" s="20" t="s">
        <v>26</v>
      </c>
      <c r="C18" s="1"/>
      <c r="D18" s="21" t="s">
        <v>27</v>
      </c>
    </row>
    <row r="19" spans="1:4" ht="24" customHeight="1" x14ac:dyDescent="0.35">
      <c r="A19" s="1"/>
      <c r="B19" s="20" t="s">
        <v>28</v>
      </c>
      <c r="C19" s="1"/>
      <c r="D19" s="21" t="s">
        <v>29</v>
      </c>
    </row>
    <row r="20" spans="1:4" ht="24" customHeight="1" x14ac:dyDescent="0.35">
      <c r="A20" s="1"/>
      <c r="B20" s="20" t="s">
        <v>30</v>
      </c>
      <c r="C20" s="1"/>
      <c r="D20" s="21" t="s">
        <v>31</v>
      </c>
    </row>
    <row r="21" spans="1:4" ht="24" customHeight="1" x14ac:dyDescent="0.35">
      <c r="A21" s="1"/>
      <c r="B21" s="20" t="s">
        <v>32</v>
      </c>
      <c r="C21" s="1"/>
      <c r="D21" s="21" t="s">
        <v>33</v>
      </c>
    </row>
    <row r="22" spans="1:4" ht="24" customHeight="1" x14ac:dyDescent="0.35">
      <c r="A22" s="1"/>
      <c r="B22" s="20" t="s">
        <v>34</v>
      </c>
      <c r="C22" s="1"/>
      <c r="D22" s="21" t="s">
        <v>35</v>
      </c>
    </row>
    <row r="23" spans="1:4" ht="24" customHeight="1" x14ac:dyDescent="0.35">
      <c r="A23" s="1"/>
      <c r="B23" s="20" t="s">
        <v>36</v>
      </c>
      <c r="C23" s="1"/>
      <c r="D23" s="21" t="s">
        <v>37</v>
      </c>
    </row>
    <row r="24" spans="1:4" ht="8" customHeight="1" x14ac:dyDescent="0.35">
      <c r="A24" s="1"/>
      <c r="B24" s="1"/>
      <c r="C24" s="1"/>
      <c r="D24" s="1"/>
    </row>
    <row r="25" spans="1:4" ht="26" customHeight="1" x14ac:dyDescent="0.35">
      <c r="A25" s="78" t="s">
        <v>38</v>
      </c>
      <c r="B25" s="76"/>
      <c r="C25" s="76"/>
      <c r="D25" s="77"/>
    </row>
    <row r="26" spans="1:4" ht="24" customHeight="1" x14ac:dyDescent="0.35">
      <c r="A26" s="1"/>
      <c r="B26" s="20" t="s">
        <v>39</v>
      </c>
      <c r="C26" s="1"/>
      <c r="D26" s="21" t="s">
        <v>40</v>
      </c>
    </row>
    <row r="27" spans="1:4" ht="24" customHeight="1" x14ac:dyDescent="0.35">
      <c r="A27" s="1"/>
      <c r="B27" s="20" t="s">
        <v>41</v>
      </c>
      <c r="C27" s="1"/>
      <c r="D27" s="21" t="s">
        <v>42</v>
      </c>
    </row>
    <row r="28" spans="1:4" ht="24" customHeight="1" x14ac:dyDescent="0.35">
      <c r="A28" s="1"/>
      <c r="B28" s="20" t="s">
        <v>43</v>
      </c>
      <c r="C28" s="1"/>
      <c r="D28" s="21" t="s">
        <v>44</v>
      </c>
    </row>
    <row r="29" spans="1:4" ht="24" customHeight="1" x14ac:dyDescent="0.35">
      <c r="A29" s="1"/>
      <c r="B29" s="20" t="s">
        <v>45</v>
      </c>
      <c r="C29" s="1"/>
      <c r="D29" s="21" t="s">
        <v>46</v>
      </c>
    </row>
    <row r="30" spans="1:4" ht="24" customHeight="1" x14ac:dyDescent="0.35">
      <c r="A30" s="1"/>
      <c r="B30" s="20" t="s">
        <v>47</v>
      </c>
      <c r="C30" s="1"/>
      <c r="D30" s="21" t="s">
        <v>48</v>
      </c>
    </row>
    <row r="31" spans="1:4" ht="24" customHeight="1" x14ac:dyDescent="0.35">
      <c r="A31" s="1"/>
      <c r="B31" s="20" t="s">
        <v>49</v>
      </c>
      <c r="C31" s="1"/>
      <c r="D31" s="21" t="s">
        <v>50</v>
      </c>
    </row>
    <row r="32" spans="1:4" ht="24" customHeight="1" x14ac:dyDescent="0.35">
      <c r="A32" s="1"/>
      <c r="B32" s="20" t="s">
        <v>51</v>
      </c>
      <c r="C32" s="1"/>
      <c r="D32" s="21" t="s">
        <v>52</v>
      </c>
    </row>
    <row r="33" spans="1:4" ht="24" customHeight="1" x14ac:dyDescent="0.35">
      <c r="A33" s="1"/>
      <c r="B33" s="20" t="s">
        <v>53</v>
      </c>
      <c r="C33" s="1"/>
      <c r="D33" s="21" t="s">
        <v>54</v>
      </c>
    </row>
    <row r="34" spans="1:4" ht="24" customHeight="1" x14ac:dyDescent="0.35">
      <c r="A34" s="1"/>
      <c r="B34" s="20" t="s">
        <v>55</v>
      </c>
      <c r="C34" s="1"/>
      <c r="D34" s="21" t="s">
        <v>56</v>
      </c>
    </row>
    <row r="35" spans="1:4" ht="24" customHeight="1" x14ac:dyDescent="0.35">
      <c r="A35" s="1"/>
      <c r="B35" s="20" t="s">
        <v>57</v>
      </c>
      <c r="C35" s="1"/>
      <c r="D35" s="21" t="s">
        <v>58</v>
      </c>
    </row>
    <row r="36" spans="1:4" ht="24" customHeight="1" x14ac:dyDescent="0.35">
      <c r="A36" s="1"/>
      <c r="B36" s="20" t="s">
        <v>59</v>
      </c>
      <c r="C36" s="1"/>
      <c r="D36" s="21" t="s">
        <v>60</v>
      </c>
    </row>
    <row r="37" spans="1:4" ht="24" customHeight="1" x14ac:dyDescent="0.35">
      <c r="A37" s="1"/>
      <c r="B37" s="20" t="s">
        <v>61</v>
      </c>
      <c r="C37" s="1"/>
      <c r="D37" s="21" t="s">
        <v>62</v>
      </c>
    </row>
    <row r="38" spans="1:4" ht="24" customHeight="1" x14ac:dyDescent="0.35">
      <c r="A38" s="1"/>
      <c r="B38" s="20" t="s">
        <v>63</v>
      </c>
      <c r="C38" s="1"/>
      <c r="D38" s="21" t="s">
        <v>64</v>
      </c>
    </row>
    <row r="39" spans="1:4" ht="24" customHeight="1" x14ac:dyDescent="0.35">
      <c r="A39" s="1"/>
      <c r="B39" s="20" t="s">
        <v>65</v>
      </c>
      <c r="C39" s="1"/>
      <c r="D39" s="21" t="s">
        <v>66</v>
      </c>
    </row>
    <row r="40" spans="1:4" ht="8" customHeight="1" x14ac:dyDescent="0.35">
      <c r="A40" s="1"/>
      <c r="B40" s="1"/>
      <c r="C40" s="1"/>
      <c r="D40" s="1"/>
    </row>
    <row r="41" spans="1:4" ht="26" customHeight="1" x14ac:dyDescent="0.35">
      <c r="A41" s="80" t="s">
        <v>67</v>
      </c>
      <c r="B41" s="76"/>
      <c r="C41" s="76"/>
      <c r="D41" s="77"/>
    </row>
    <row r="42" spans="1:4" ht="24" customHeight="1" x14ac:dyDescent="0.35">
      <c r="A42" s="1"/>
      <c r="B42" s="22" t="s">
        <v>68</v>
      </c>
      <c r="C42" s="1"/>
      <c r="D42" s="23" t="s">
        <v>69</v>
      </c>
    </row>
    <row r="43" spans="1:4" ht="24" customHeight="1" x14ac:dyDescent="0.35">
      <c r="A43" s="1"/>
      <c r="B43" s="22" t="s">
        <v>70</v>
      </c>
      <c r="C43" s="1"/>
      <c r="D43" s="23" t="s">
        <v>71</v>
      </c>
    </row>
    <row r="44" spans="1:4" ht="24" customHeight="1" x14ac:dyDescent="0.35">
      <c r="A44" s="1"/>
      <c r="B44" s="22" t="s">
        <v>72</v>
      </c>
      <c r="C44" s="1"/>
      <c r="D44" s="23" t="s">
        <v>73</v>
      </c>
    </row>
    <row r="45" spans="1:4" ht="24" customHeight="1" x14ac:dyDescent="0.35">
      <c r="A45" s="1"/>
      <c r="B45" s="22" t="s">
        <v>74</v>
      </c>
      <c r="C45" s="1"/>
      <c r="D45" s="23" t="s">
        <v>75</v>
      </c>
    </row>
    <row r="46" spans="1:4" ht="24" customHeight="1" x14ac:dyDescent="0.35">
      <c r="A46" s="1"/>
      <c r="B46" s="22" t="s">
        <v>76</v>
      </c>
      <c r="C46" s="1"/>
      <c r="D46" s="23" t="s">
        <v>77</v>
      </c>
    </row>
    <row r="47" spans="1:4" ht="24" customHeight="1" x14ac:dyDescent="0.35">
      <c r="A47" s="1"/>
      <c r="B47" s="22" t="s">
        <v>78</v>
      </c>
      <c r="C47" s="1"/>
      <c r="D47" s="23" t="s">
        <v>79</v>
      </c>
    </row>
    <row r="48" spans="1:4" ht="8" customHeight="1" x14ac:dyDescent="0.35">
      <c r="A48" s="1"/>
      <c r="B48" s="1"/>
      <c r="C48" s="1"/>
      <c r="D48" s="1"/>
    </row>
    <row r="49" spans="1:4" ht="26" customHeight="1" x14ac:dyDescent="0.35">
      <c r="A49" s="78" t="s">
        <v>80</v>
      </c>
      <c r="B49" s="76"/>
      <c r="C49" s="76"/>
      <c r="D49" s="77"/>
    </row>
    <row r="50" spans="1:4" ht="24" customHeight="1" x14ac:dyDescent="0.35">
      <c r="A50" s="1"/>
      <c r="B50" s="20" t="s">
        <v>81</v>
      </c>
      <c r="C50" s="1"/>
      <c r="D50" s="21" t="s">
        <v>82</v>
      </c>
    </row>
    <row r="51" spans="1:4" ht="24" customHeight="1" x14ac:dyDescent="0.35">
      <c r="A51" s="1"/>
      <c r="B51" s="20" t="s">
        <v>83</v>
      </c>
      <c r="C51" s="1"/>
      <c r="D51" s="21" t="s">
        <v>84</v>
      </c>
    </row>
    <row r="52" spans="1:4" ht="24" customHeight="1" x14ac:dyDescent="0.35">
      <c r="A52" s="1"/>
      <c r="B52" s="20" t="s">
        <v>85</v>
      </c>
      <c r="C52" s="1"/>
      <c r="D52" s="21" t="s">
        <v>86</v>
      </c>
    </row>
    <row r="53" spans="1:4" ht="24" customHeight="1" x14ac:dyDescent="0.35">
      <c r="A53" s="1"/>
      <c r="B53" s="20" t="s">
        <v>87</v>
      </c>
      <c r="C53" s="1"/>
      <c r="D53" s="21" t="s">
        <v>88</v>
      </c>
    </row>
    <row r="54" spans="1:4" ht="24" customHeight="1" x14ac:dyDescent="0.35">
      <c r="A54" s="1"/>
      <c r="B54" s="20" t="s">
        <v>89</v>
      </c>
      <c r="C54" s="1"/>
      <c r="D54" s="21" t="s">
        <v>90</v>
      </c>
    </row>
    <row r="55" spans="1:4" ht="24" customHeight="1" x14ac:dyDescent="0.35">
      <c r="A55" s="1"/>
      <c r="B55" s="20" t="s">
        <v>91</v>
      </c>
      <c r="C55" s="1"/>
      <c r="D55" s="21" t="s">
        <v>92</v>
      </c>
    </row>
    <row r="56" spans="1:4" ht="24" customHeight="1" x14ac:dyDescent="0.35">
      <c r="A56" s="1"/>
      <c r="B56" s="20" t="s">
        <v>93</v>
      </c>
      <c r="C56" s="1"/>
      <c r="D56" s="21" t="s">
        <v>94</v>
      </c>
    </row>
    <row r="57" spans="1:4" ht="24" customHeight="1" x14ac:dyDescent="0.35">
      <c r="A57" s="1"/>
      <c r="B57" s="20" t="s">
        <v>95</v>
      </c>
      <c r="C57" s="1"/>
      <c r="D57" s="21" t="s">
        <v>96</v>
      </c>
    </row>
    <row r="58" spans="1:4" ht="8" customHeight="1" x14ac:dyDescent="0.35">
      <c r="A58" s="1"/>
      <c r="B58" s="1"/>
      <c r="C58" s="1"/>
      <c r="D58" s="1"/>
    </row>
    <row r="59" spans="1:4" ht="26" customHeight="1" x14ac:dyDescent="0.35">
      <c r="A59" s="79" t="s">
        <v>97</v>
      </c>
      <c r="B59" s="76"/>
      <c r="C59" s="76"/>
      <c r="D59" s="77"/>
    </row>
  </sheetData>
  <mergeCells count="8">
    <mergeCell ref="A1:D1"/>
    <mergeCell ref="A4:D4"/>
    <mergeCell ref="A15:D15"/>
    <mergeCell ref="A59:D59"/>
    <mergeCell ref="A25:D25"/>
    <mergeCell ref="A41:D41"/>
    <mergeCell ref="A2:D2"/>
    <mergeCell ref="A49:D4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heetViews>
  <sheetFormatPr defaultRowHeight="14.5" x14ac:dyDescent="0.35"/>
  <cols>
    <col min="1" max="1" width="3" customWidth="1"/>
    <col min="2" max="2" width="22" customWidth="1"/>
    <col min="3" max="3" width="35" customWidth="1"/>
    <col min="4" max="4" width="22" customWidth="1"/>
    <col min="5" max="5" width="18" customWidth="1"/>
    <col min="6" max="6" width="28" customWidth="1"/>
    <col min="7" max="7" width="10" customWidth="1"/>
    <col min="8" max="8" width="45" customWidth="1"/>
  </cols>
  <sheetData>
    <row r="1" spans="1:8" ht="32" customHeight="1" x14ac:dyDescent="0.35">
      <c r="A1" s="85" t="s">
        <v>98</v>
      </c>
      <c r="B1" s="76"/>
      <c r="C1" s="76"/>
      <c r="D1" s="76"/>
      <c r="E1" s="76"/>
      <c r="F1" s="76"/>
      <c r="G1" s="76"/>
      <c r="H1" s="77"/>
    </row>
    <row r="2" spans="1:8" ht="26" customHeight="1" x14ac:dyDescent="0.35">
      <c r="A2" s="91" t="s">
        <v>99</v>
      </c>
      <c r="B2" s="76"/>
      <c r="C2" s="76"/>
      <c r="D2" s="76"/>
      <c r="E2" s="76"/>
      <c r="F2" s="76"/>
      <c r="G2" s="76"/>
      <c r="H2" s="77"/>
    </row>
    <row r="3" spans="1:8" ht="24" customHeight="1" x14ac:dyDescent="0.35">
      <c r="A3" s="1"/>
      <c r="B3" s="78" t="s">
        <v>100</v>
      </c>
      <c r="C3" s="77"/>
      <c r="D3" s="78" t="s">
        <v>101</v>
      </c>
      <c r="E3" s="77"/>
      <c r="F3" s="78" t="s">
        <v>102</v>
      </c>
      <c r="G3" s="77"/>
      <c r="H3" s="2" t="s">
        <v>103</v>
      </c>
    </row>
    <row r="4" spans="1:8" ht="20" customHeight="1" x14ac:dyDescent="0.35">
      <c r="A4" s="1"/>
      <c r="B4" s="24" t="s">
        <v>104</v>
      </c>
      <c r="C4" s="1"/>
      <c r="D4" s="24" t="s">
        <v>105</v>
      </c>
      <c r="E4" s="1"/>
      <c r="F4" s="24" t="s">
        <v>106</v>
      </c>
      <c r="G4" s="1"/>
      <c r="H4" s="24" t="s">
        <v>107</v>
      </c>
    </row>
    <row r="5" spans="1:8" ht="20" customHeight="1" x14ac:dyDescent="0.35">
      <c r="A5" s="1"/>
      <c r="B5" s="25" t="s">
        <v>108</v>
      </c>
      <c r="C5" s="1"/>
      <c r="D5" s="25" t="s">
        <v>109</v>
      </c>
      <c r="E5" s="1"/>
      <c r="F5" s="25" t="s">
        <v>110</v>
      </c>
      <c r="G5" s="1"/>
      <c r="H5" s="26" t="s">
        <v>111</v>
      </c>
    </row>
    <row r="6" spans="1:8" ht="20" customHeight="1" x14ac:dyDescent="0.35">
      <c r="A6" s="1"/>
      <c r="B6" s="25" t="s">
        <v>112</v>
      </c>
      <c r="C6" s="1"/>
      <c r="D6" s="25" t="s">
        <v>113</v>
      </c>
      <c r="E6" s="1"/>
      <c r="F6" s="25" t="s">
        <v>114</v>
      </c>
      <c r="G6" s="1"/>
      <c r="H6" s="27" t="s">
        <v>115</v>
      </c>
    </row>
    <row r="7" spans="1:8" ht="20" customHeight="1" x14ac:dyDescent="0.35">
      <c r="A7" s="1"/>
      <c r="B7" s="25" t="s">
        <v>116</v>
      </c>
      <c r="C7" s="1"/>
      <c r="D7" s="25" t="s">
        <v>117</v>
      </c>
      <c r="E7" s="1"/>
      <c r="F7" s="25" t="s">
        <v>118</v>
      </c>
      <c r="G7" s="1"/>
      <c r="H7" s="26" t="s">
        <v>119</v>
      </c>
    </row>
    <row r="8" spans="1:8" ht="20" customHeight="1" x14ac:dyDescent="0.35">
      <c r="A8" s="1"/>
      <c r="B8" s="25" t="s">
        <v>120</v>
      </c>
      <c r="C8" s="1"/>
      <c r="D8" s="25" t="s">
        <v>121</v>
      </c>
      <c r="E8" s="1"/>
      <c r="F8" s="25" t="s">
        <v>122</v>
      </c>
      <c r="G8" s="1"/>
      <c r="H8" s="27" t="s">
        <v>123</v>
      </c>
    </row>
    <row r="9" spans="1:8" ht="20" customHeight="1" x14ac:dyDescent="0.35">
      <c r="A9" s="1"/>
      <c r="B9" s="28"/>
      <c r="C9" s="1"/>
      <c r="D9" s="25" t="s">
        <v>124</v>
      </c>
      <c r="E9" s="1"/>
      <c r="F9" s="25" t="s">
        <v>125</v>
      </c>
      <c r="G9" s="1"/>
      <c r="H9" s="26" t="s">
        <v>126</v>
      </c>
    </row>
    <row r="10" spans="1:8" ht="20" customHeight="1" x14ac:dyDescent="0.35">
      <c r="A10" s="1"/>
      <c r="B10" s="29"/>
      <c r="C10" s="1"/>
      <c r="D10" s="25" t="s">
        <v>127</v>
      </c>
      <c r="E10" s="1"/>
      <c r="F10" s="29"/>
      <c r="G10" s="1"/>
      <c r="H10" s="27" t="s">
        <v>128</v>
      </c>
    </row>
    <row r="11" spans="1:8" ht="20" customHeight="1" x14ac:dyDescent="0.35">
      <c r="A11" s="1"/>
      <c r="B11" s="28"/>
      <c r="C11" s="1"/>
      <c r="D11" s="25" t="s">
        <v>26</v>
      </c>
      <c r="E11" s="1"/>
      <c r="F11" s="28"/>
      <c r="G11" s="1"/>
      <c r="H11" s="1"/>
    </row>
    <row r="12" spans="1:8" ht="20" customHeight="1" x14ac:dyDescent="0.35">
      <c r="A12" s="1"/>
      <c r="B12" s="29"/>
      <c r="C12" s="1"/>
      <c r="D12" s="25" t="s">
        <v>129</v>
      </c>
      <c r="E12" s="1"/>
      <c r="F12" s="29"/>
      <c r="G12" s="1"/>
      <c r="H12" s="1"/>
    </row>
    <row r="13" spans="1:8" ht="20" customHeight="1" x14ac:dyDescent="0.35">
      <c r="A13" s="1"/>
      <c r="B13" s="28"/>
      <c r="C13" s="1"/>
      <c r="D13" s="25" t="s">
        <v>130</v>
      </c>
      <c r="E13" s="1"/>
      <c r="F13" s="28"/>
      <c r="G13" s="1"/>
      <c r="H13" s="1"/>
    </row>
    <row r="14" spans="1:8" ht="20" customHeight="1" x14ac:dyDescent="0.35">
      <c r="A14" s="1"/>
      <c r="B14" s="29"/>
      <c r="C14" s="1"/>
      <c r="D14" s="25" t="s">
        <v>131</v>
      </c>
      <c r="E14" s="1"/>
      <c r="F14" s="29"/>
      <c r="G14" s="1"/>
      <c r="H14" s="1"/>
    </row>
    <row r="15" spans="1:8" ht="20" customHeight="1" x14ac:dyDescent="0.35">
      <c r="A15" s="1"/>
      <c r="B15" s="28"/>
      <c r="C15" s="1"/>
      <c r="D15" s="25" t="s">
        <v>132</v>
      </c>
      <c r="E15" s="1"/>
      <c r="F15" s="28"/>
      <c r="G15" s="1"/>
      <c r="H15" s="1"/>
    </row>
    <row r="16" spans="1:8" ht="20" customHeight="1" x14ac:dyDescent="0.35">
      <c r="A16" s="1"/>
      <c r="B16" s="29"/>
      <c r="C16" s="1"/>
      <c r="D16" s="25" t="s">
        <v>133</v>
      </c>
      <c r="E16" s="1"/>
      <c r="F16" s="29"/>
      <c r="G16" s="1"/>
      <c r="H16" s="1"/>
    </row>
    <row r="17" spans="1:8" ht="20" customHeight="1" x14ac:dyDescent="0.35">
      <c r="A17" s="1"/>
      <c r="B17" s="28"/>
      <c r="C17" s="1"/>
      <c r="D17" s="28"/>
      <c r="E17" s="1"/>
      <c r="F17" s="28"/>
      <c r="G17" s="1"/>
      <c r="H17" s="1"/>
    </row>
    <row r="18" spans="1:8" ht="20" customHeight="1" x14ac:dyDescent="0.35">
      <c r="A18" s="1"/>
      <c r="B18" s="29"/>
      <c r="C18" s="1"/>
      <c r="D18" s="29"/>
      <c r="E18" s="1"/>
      <c r="F18" s="29"/>
      <c r="G18" s="1"/>
      <c r="H18" s="1"/>
    </row>
    <row r="19" spans="1:8" ht="20" customHeight="1" x14ac:dyDescent="0.35">
      <c r="A19" s="1"/>
      <c r="B19" s="28"/>
      <c r="C19" s="1"/>
      <c r="D19" s="28"/>
      <c r="E19" s="1"/>
      <c r="F19" s="28"/>
      <c r="G19" s="1"/>
      <c r="H19" s="1"/>
    </row>
    <row r="20" spans="1:8" ht="20" customHeight="1" x14ac:dyDescent="0.35">
      <c r="A20" s="1"/>
      <c r="B20" s="29"/>
      <c r="C20" s="1"/>
      <c r="D20" s="29"/>
      <c r="E20" s="1"/>
      <c r="F20" s="29"/>
      <c r="G20" s="1"/>
      <c r="H20" s="1"/>
    </row>
    <row r="21" spans="1:8" ht="20" customHeight="1" x14ac:dyDescent="0.35">
      <c r="A21" s="1"/>
      <c r="B21" s="28"/>
      <c r="C21" s="1"/>
      <c r="D21" s="28"/>
      <c r="E21" s="1"/>
      <c r="F21" s="28"/>
      <c r="G21" s="1"/>
      <c r="H21" s="1"/>
    </row>
    <row r="22" spans="1:8" ht="20" customHeight="1" x14ac:dyDescent="0.35">
      <c r="A22" s="1"/>
      <c r="B22" s="29"/>
      <c r="C22" s="1"/>
      <c r="D22" s="29"/>
      <c r="E22" s="1"/>
      <c r="F22" s="29"/>
      <c r="G22" s="1"/>
      <c r="H22" s="1"/>
    </row>
    <row r="23" spans="1:8" ht="20" customHeight="1" x14ac:dyDescent="0.35">
      <c r="A23" s="1"/>
      <c r="B23" s="28"/>
      <c r="C23" s="1"/>
      <c r="D23" s="28"/>
      <c r="E23" s="1"/>
      <c r="F23" s="28"/>
      <c r="G23" s="1"/>
      <c r="H23" s="1"/>
    </row>
    <row r="24" spans="1:8" ht="20" customHeight="1" x14ac:dyDescent="0.35">
      <c r="A24" s="1"/>
      <c r="B24" s="29"/>
      <c r="C24" s="1"/>
      <c r="D24" s="29"/>
      <c r="E24" s="1"/>
      <c r="F24" s="29"/>
      <c r="G24" s="1"/>
      <c r="H24" s="1"/>
    </row>
    <row r="25" spans="1:8" ht="20" customHeight="1" x14ac:dyDescent="0.35">
      <c r="A25" s="1"/>
      <c r="B25" s="28"/>
      <c r="C25" s="1"/>
      <c r="D25" s="28"/>
      <c r="E25" s="1"/>
      <c r="F25" s="28"/>
      <c r="G25" s="1"/>
      <c r="H25" s="1"/>
    </row>
    <row r="26" spans="1:8" ht="20" customHeight="1" x14ac:dyDescent="0.35">
      <c r="A26" s="1"/>
      <c r="B26" s="29"/>
      <c r="C26" s="1"/>
      <c r="D26" s="29"/>
      <c r="E26" s="1"/>
      <c r="F26" s="29"/>
      <c r="G26" s="1"/>
      <c r="H26" s="1"/>
    </row>
    <row r="27" spans="1:8" ht="20" customHeight="1" x14ac:dyDescent="0.35">
      <c r="A27" s="1"/>
      <c r="B27" s="28"/>
      <c r="C27" s="1"/>
      <c r="D27" s="28"/>
      <c r="E27" s="1"/>
      <c r="F27" s="28"/>
      <c r="G27" s="1"/>
      <c r="H27" s="1"/>
    </row>
    <row r="28" spans="1:8" ht="20" customHeight="1" x14ac:dyDescent="0.35">
      <c r="A28" s="1"/>
      <c r="B28" s="29"/>
      <c r="C28" s="1"/>
      <c r="D28" s="29"/>
      <c r="E28" s="1"/>
      <c r="F28" s="29"/>
      <c r="G28" s="1"/>
      <c r="H28" s="1"/>
    </row>
    <row r="29" spans="1:8" ht="20" customHeight="1" x14ac:dyDescent="0.35">
      <c r="A29" s="1"/>
      <c r="B29" s="28"/>
      <c r="C29" s="1"/>
      <c r="D29" s="28"/>
      <c r="E29" s="1"/>
      <c r="F29" s="28"/>
      <c r="G29" s="1"/>
      <c r="H29" s="1"/>
    </row>
    <row r="30" spans="1:8" ht="20" customHeight="1" x14ac:dyDescent="0.35">
      <c r="A30" s="1"/>
      <c r="B30" s="29"/>
      <c r="C30" s="1"/>
      <c r="D30" s="29"/>
      <c r="E30" s="1"/>
      <c r="F30" s="29"/>
      <c r="G30" s="1"/>
      <c r="H30" s="1"/>
    </row>
    <row r="31" spans="1:8" ht="20" customHeight="1" x14ac:dyDescent="0.35">
      <c r="A31" s="1"/>
      <c r="B31" s="28"/>
      <c r="C31" s="1"/>
      <c r="D31" s="28"/>
      <c r="E31" s="1"/>
      <c r="F31" s="28"/>
      <c r="G31" s="1"/>
      <c r="H31" s="1"/>
    </row>
    <row r="32" spans="1:8" ht="20" customHeight="1" x14ac:dyDescent="0.35">
      <c r="A32" s="1"/>
      <c r="B32" s="29"/>
      <c r="C32" s="1"/>
      <c r="D32" s="29"/>
      <c r="E32" s="1"/>
      <c r="F32" s="29"/>
      <c r="G32" s="1"/>
      <c r="H32" s="1"/>
    </row>
    <row r="33" spans="1:8" ht="20" customHeight="1" x14ac:dyDescent="0.35">
      <c r="A33" s="1"/>
      <c r="B33" s="28"/>
      <c r="C33" s="1"/>
      <c r="D33" s="28"/>
      <c r="E33" s="1"/>
      <c r="F33" s="28"/>
      <c r="G33" s="1"/>
      <c r="H33" s="1"/>
    </row>
    <row r="34" spans="1:8" ht="20" customHeight="1" x14ac:dyDescent="0.35">
      <c r="A34" s="1"/>
      <c r="B34" s="29"/>
      <c r="C34" s="1"/>
      <c r="D34" s="29"/>
      <c r="E34" s="1"/>
      <c r="F34" s="29"/>
      <c r="G34" s="1"/>
      <c r="H34" s="1"/>
    </row>
    <row r="35" spans="1:8" ht="18" customHeight="1" x14ac:dyDescent="0.35">
      <c r="A35" s="1"/>
      <c r="B35" s="30" t="s">
        <v>134</v>
      </c>
      <c r="C35" s="1"/>
      <c r="D35" s="30" t="s">
        <v>135</v>
      </c>
      <c r="E35" s="1"/>
      <c r="F35" s="30" t="s">
        <v>136</v>
      </c>
      <c r="G35" s="1"/>
      <c r="H35" s="1"/>
    </row>
    <row r="36" spans="1:8" ht="8" customHeight="1" x14ac:dyDescent="0.35">
      <c r="A36" s="1"/>
      <c r="B36" s="1"/>
      <c r="C36" s="1"/>
      <c r="D36" s="1"/>
      <c r="E36" s="1"/>
      <c r="F36" s="1"/>
      <c r="G36" s="1"/>
      <c r="H36" s="1"/>
    </row>
    <row r="37" spans="1:8" ht="26" customHeight="1" x14ac:dyDescent="0.35">
      <c r="A37" s="89" t="s">
        <v>137</v>
      </c>
      <c r="B37" s="76"/>
      <c r="C37" s="76"/>
      <c r="D37" s="76"/>
      <c r="E37" s="76"/>
      <c r="F37" s="76"/>
      <c r="G37" s="76"/>
      <c r="H37" s="77"/>
    </row>
    <row r="38" spans="1:8" ht="44" customHeight="1" x14ac:dyDescent="0.35">
      <c r="A38" s="1"/>
      <c r="B38" s="31" t="s">
        <v>138</v>
      </c>
      <c r="C38" s="84" t="s">
        <v>139</v>
      </c>
      <c r="D38" s="76"/>
      <c r="E38" s="76"/>
      <c r="F38" s="76"/>
      <c r="G38" s="76"/>
      <c r="H38" s="77"/>
    </row>
    <row r="39" spans="1:8" ht="44" customHeight="1" x14ac:dyDescent="0.35">
      <c r="A39" s="1"/>
      <c r="B39" s="31" t="s">
        <v>140</v>
      </c>
      <c r="C39" s="84" t="s">
        <v>141</v>
      </c>
      <c r="D39" s="76"/>
      <c r="E39" s="76"/>
      <c r="F39" s="76"/>
      <c r="G39" s="76"/>
      <c r="H39" s="77"/>
    </row>
    <row r="40" spans="1:8" ht="44" customHeight="1" x14ac:dyDescent="0.35">
      <c r="A40" s="1"/>
      <c r="B40" s="31" t="s">
        <v>142</v>
      </c>
      <c r="C40" s="84" t="s">
        <v>143</v>
      </c>
      <c r="D40" s="76"/>
      <c r="E40" s="76"/>
      <c r="F40" s="76"/>
      <c r="G40" s="76"/>
      <c r="H40" s="77"/>
    </row>
    <row r="41" spans="1:8" x14ac:dyDescent="0.35">
      <c r="A41" s="1"/>
      <c r="B41" s="1"/>
      <c r="C41" s="1"/>
      <c r="D41" s="1"/>
      <c r="E41" s="1"/>
      <c r="F41" s="1"/>
      <c r="G41" s="1"/>
      <c r="H41" s="1"/>
    </row>
    <row r="42" spans="1:8" ht="22" customHeight="1" x14ac:dyDescent="0.35">
      <c r="A42" s="1"/>
      <c r="B42" s="82" t="s">
        <v>144</v>
      </c>
      <c r="C42" s="77"/>
      <c r="D42" s="82" t="s">
        <v>145</v>
      </c>
      <c r="E42" s="77"/>
      <c r="F42" s="82" t="s">
        <v>146</v>
      </c>
      <c r="G42" s="76"/>
      <c r="H42" s="77"/>
    </row>
    <row r="43" spans="1:8" ht="28" customHeight="1" x14ac:dyDescent="0.35">
      <c r="A43" s="1"/>
      <c r="B43" s="88" t="s">
        <v>147</v>
      </c>
      <c r="C43" s="77"/>
      <c r="D43" s="90" t="s">
        <v>148</v>
      </c>
      <c r="E43" s="87"/>
      <c r="F43" s="83" t="s">
        <v>149</v>
      </c>
      <c r="G43" s="76"/>
      <c r="H43" s="77"/>
    </row>
    <row r="44" spans="1:8" ht="28" customHeight="1" x14ac:dyDescent="0.35">
      <c r="A44" s="1"/>
      <c r="B44" s="88" t="s">
        <v>150</v>
      </c>
      <c r="C44" s="77"/>
      <c r="D44" s="86">
        <v>2.7315</v>
      </c>
      <c r="E44" s="87"/>
      <c r="F44" s="83" t="s">
        <v>151</v>
      </c>
      <c r="G44" s="76"/>
      <c r="H44" s="77"/>
    </row>
    <row r="45" spans="1:8" ht="28" customHeight="1" x14ac:dyDescent="0.35">
      <c r="A45" s="1"/>
      <c r="B45" s="88" t="s">
        <v>152</v>
      </c>
      <c r="C45" s="77"/>
      <c r="D45" s="86">
        <v>19.1358</v>
      </c>
      <c r="E45" s="87"/>
      <c r="F45" s="83" t="s">
        <v>153</v>
      </c>
      <c r="G45" s="76"/>
      <c r="H45" s="77"/>
    </row>
    <row r="46" spans="1:8" ht="8" customHeight="1" x14ac:dyDescent="0.35">
      <c r="A46" s="1"/>
      <c r="B46" s="1"/>
      <c r="C46" s="1"/>
      <c r="D46" s="1"/>
      <c r="E46" s="1"/>
      <c r="F46" s="1"/>
      <c r="G46" s="1"/>
      <c r="H46" s="1"/>
    </row>
    <row r="47" spans="1:8" ht="28" customHeight="1" x14ac:dyDescent="0.35">
      <c r="A47" s="78" t="s">
        <v>154</v>
      </c>
      <c r="B47" s="76"/>
      <c r="C47" s="76"/>
      <c r="D47" s="76"/>
      <c r="E47" s="76"/>
      <c r="F47" s="76"/>
      <c r="G47" s="76"/>
      <c r="H47" s="77"/>
    </row>
    <row r="48" spans="1:8" ht="22" customHeight="1" x14ac:dyDescent="0.35">
      <c r="A48" s="1"/>
      <c r="B48" s="24" t="s">
        <v>155</v>
      </c>
      <c r="C48" s="1"/>
      <c r="D48" s="24" t="s">
        <v>156</v>
      </c>
      <c r="E48" s="1"/>
      <c r="F48" s="24" t="s">
        <v>157</v>
      </c>
      <c r="G48" s="1"/>
      <c r="H48" s="1"/>
    </row>
    <row r="49" spans="1:8" ht="34" customHeight="1" x14ac:dyDescent="0.35">
      <c r="A49" s="1"/>
      <c r="B49" s="32">
        <v>0</v>
      </c>
      <c r="C49" s="1"/>
      <c r="D49" s="33" t="str">
        <f>IF(B49=0,"Enter price →",B49*$D$44)</f>
        <v>Enter price →</v>
      </c>
      <c r="E49" s="1"/>
      <c r="F49" s="34">
        <v>0</v>
      </c>
      <c r="G49" s="1"/>
      <c r="H49" s="1"/>
    </row>
    <row r="50" spans="1:8" ht="20" customHeight="1" x14ac:dyDescent="0.35">
      <c r="A50" s="1"/>
      <c r="B50" s="1"/>
      <c r="C50" s="1"/>
      <c r="D50" s="35" t="str">
        <f>IF(B49=0,"","Silver Nisab = "&amp;TEXT(F49*$D$45,"$#,##0.00"))</f>
        <v/>
      </c>
      <c r="E50" s="1"/>
      <c r="F50" s="1"/>
      <c r="G50" s="1"/>
      <c r="H50" s="1"/>
    </row>
  </sheetData>
  <mergeCells count="22">
    <mergeCell ref="A47:H47"/>
    <mergeCell ref="F44:H44"/>
    <mergeCell ref="D3:E3"/>
    <mergeCell ref="D42:E42"/>
    <mergeCell ref="B45:C45"/>
    <mergeCell ref="D44:E44"/>
    <mergeCell ref="F42:H42"/>
    <mergeCell ref="B3:C3"/>
    <mergeCell ref="F45:H45"/>
    <mergeCell ref="C40:H40"/>
    <mergeCell ref="A1:H1"/>
    <mergeCell ref="D45:E45"/>
    <mergeCell ref="B43:C43"/>
    <mergeCell ref="F3:G3"/>
    <mergeCell ref="B42:C42"/>
    <mergeCell ref="C39:H39"/>
    <mergeCell ref="F43:H43"/>
    <mergeCell ref="A37:H37"/>
    <mergeCell ref="C38:H38"/>
    <mergeCell ref="B44:C44"/>
    <mergeCell ref="D43:E43"/>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25"/>
  <sheetViews>
    <sheetView showGridLines="0" workbookViewId="0">
      <pane ySplit="4" topLeftCell="A5" activePane="bottomLeft" state="frozen"/>
      <selection pane="bottomLeft"/>
    </sheetView>
  </sheetViews>
  <sheetFormatPr defaultRowHeight="14.5" x14ac:dyDescent="0.35"/>
  <cols>
    <col min="1" max="1" width="14" customWidth="1"/>
    <col min="2" max="3" width="18" customWidth="1"/>
    <col min="4" max="4" width="14" customWidth="1"/>
    <col min="5" max="7" width="16" customWidth="1"/>
    <col min="8" max="8" width="20" customWidth="1"/>
    <col min="9" max="10" width="16" customWidth="1"/>
    <col min="11" max="11" width="18" customWidth="1"/>
    <col min="12" max="12" width="16" customWidth="1"/>
    <col min="13" max="14" width="18" customWidth="1"/>
  </cols>
  <sheetData>
    <row r="1" spans="1:14" ht="32" customHeight="1" x14ac:dyDescent="0.35">
      <c r="A1" s="75" t="s">
        <v>158</v>
      </c>
      <c r="B1" s="76"/>
      <c r="C1" s="76"/>
      <c r="D1" s="76"/>
      <c r="E1" s="76"/>
      <c r="F1" s="76"/>
      <c r="G1" s="76"/>
      <c r="H1" s="76"/>
      <c r="I1" s="76"/>
      <c r="J1" s="76"/>
      <c r="K1" s="76"/>
      <c r="L1" s="76"/>
      <c r="M1" s="76"/>
      <c r="N1" s="77"/>
    </row>
    <row r="2" spans="1:14" ht="26" customHeight="1" x14ac:dyDescent="0.35">
      <c r="A2" s="91" t="s">
        <v>159</v>
      </c>
      <c r="B2" s="76"/>
      <c r="C2" s="76"/>
      <c r="D2" s="76"/>
      <c r="E2" s="76"/>
      <c r="F2" s="76"/>
      <c r="G2" s="76"/>
      <c r="H2" s="76"/>
      <c r="I2" s="76"/>
      <c r="J2" s="76"/>
      <c r="K2" s="76"/>
      <c r="L2" s="76"/>
      <c r="M2" s="76"/>
      <c r="N2" s="77"/>
    </row>
    <row r="3" spans="1:14" ht="32" customHeight="1" x14ac:dyDescent="0.35">
      <c r="A3" s="36" t="s">
        <v>39</v>
      </c>
      <c r="B3" s="36" t="s">
        <v>41</v>
      </c>
      <c r="C3" s="36" t="s">
        <v>43</v>
      </c>
      <c r="D3" s="36" t="s">
        <v>45</v>
      </c>
      <c r="E3" s="36" t="s">
        <v>47</v>
      </c>
      <c r="F3" s="36" t="s">
        <v>49</v>
      </c>
      <c r="G3" s="36" t="s">
        <v>51</v>
      </c>
      <c r="H3" s="36" t="s">
        <v>160</v>
      </c>
      <c r="I3" s="36" t="s">
        <v>161</v>
      </c>
      <c r="J3" s="36" t="s">
        <v>162</v>
      </c>
      <c r="K3" s="36" t="s">
        <v>163</v>
      </c>
      <c r="L3" s="36" t="s">
        <v>164</v>
      </c>
      <c r="M3" s="31" t="s">
        <v>63</v>
      </c>
      <c r="N3" s="37" t="s">
        <v>165</v>
      </c>
    </row>
    <row r="4" spans="1:14" ht="38" customHeight="1" x14ac:dyDescent="0.35">
      <c r="A4" s="38" t="s">
        <v>166</v>
      </c>
      <c r="B4" s="38" t="s">
        <v>167</v>
      </c>
      <c r="C4" s="38" t="s">
        <v>168</v>
      </c>
      <c r="D4" s="38" t="s">
        <v>169</v>
      </c>
      <c r="E4" s="38" t="s">
        <v>170</v>
      </c>
      <c r="F4" s="38" t="s">
        <v>171</v>
      </c>
      <c r="G4" s="38" t="s">
        <v>172</v>
      </c>
      <c r="H4" s="38" t="s">
        <v>173</v>
      </c>
      <c r="I4" s="38" t="s">
        <v>174</v>
      </c>
      <c r="J4" s="38" t="s">
        <v>175</v>
      </c>
      <c r="K4" s="38" t="s">
        <v>176</v>
      </c>
      <c r="L4" s="38" t="s">
        <v>177</v>
      </c>
      <c r="M4" s="38" t="s">
        <v>178</v>
      </c>
      <c r="N4" s="38" t="s">
        <v>179</v>
      </c>
    </row>
    <row r="5" spans="1:14" ht="22" customHeight="1" x14ac:dyDescent="0.35">
      <c r="A5" s="39"/>
      <c r="B5" s="40">
        <f>IFERROR(INDEX(Stocks!$1:$1048576,4,MATCH("Total Portfolio",Stocks!$3:$3,0)),0)</f>
        <v>0</v>
      </c>
      <c r="C5" s="40">
        <f>IFERROR(INDEX(Cash!$1:$1048576,4,MATCH("Total Cash",Cash!$3:$3,0)),0)</f>
        <v>0</v>
      </c>
      <c r="D5" s="41">
        <f>IFERROR(INDEX(Debts!$1:$1048576,4,MATCH("Total Debts",Debts!$3:$3,0)),0)</f>
        <v>0</v>
      </c>
      <c r="E5" s="42"/>
      <c r="F5" s="43"/>
      <c r="G5" s="40">
        <f t="shared" ref="G5:G14" si="0">E5*F5</f>
        <v>0</v>
      </c>
      <c r="H5" s="44">
        <f t="shared" ref="H5:H14" si="1">B5+C5+G5-D5</f>
        <v>0</v>
      </c>
      <c r="I5" s="45">
        <f>E5*Settings!$D$44</f>
        <v>0</v>
      </c>
      <c r="J5" s="46">
        <f t="shared" ref="J5:J14" si="2">IF(H5&gt;=I5,H5*0.025,0)</f>
        <v>0</v>
      </c>
      <c r="K5" s="42" t="str">
        <f>IF(A5="","",SUMIFS(Ledger!H$6:H$205,Ledger!B$6:B$205,"Zakat",Ledger!A$6:A$205,"&lt;="&amp;A5))</f>
        <v/>
      </c>
      <c r="L5" s="47" t="str">
        <f>IF(J5=0,"",J5-IF(K5="",0,K5))</f>
        <v/>
      </c>
      <c r="M5" s="48" t="str">
        <f t="shared" ref="M5:M14" si="3">IF(J5=0,"",IF(L5&lt;=0,"✅ Paid in Full",IF(K5=0,"❌ Not Started","⚠️ Partially Paid")))</f>
        <v/>
      </c>
      <c r="N5" s="49" t="str">
        <f>IF(A5="","",0)</f>
        <v/>
      </c>
    </row>
    <row r="6" spans="1:14" ht="22" customHeight="1" x14ac:dyDescent="0.35">
      <c r="A6" s="39"/>
      <c r="B6" s="40">
        <f>IFERROR(INDEX(Stocks!$1:$1048576,5,MATCH("Total Portfolio",Stocks!$3:$3,0)),0)</f>
        <v>0</v>
      </c>
      <c r="C6" s="40">
        <f>IFERROR(INDEX(Cash!$1:$1048576,5,MATCH("Total Cash",Cash!$3:$3,0)),0)</f>
        <v>0</v>
      </c>
      <c r="D6" s="41">
        <f>IFERROR(INDEX(Debts!$1:$1048576,5,MATCH("Total Debts",Debts!$3:$3,0)),0)</f>
        <v>0</v>
      </c>
      <c r="E6" s="42"/>
      <c r="F6" s="43"/>
      <c r="G6" s="40">
        <f t="shared" si="0"/>
        <v>0</v>
      </c>
      <c r="H6" s="44">
        <f t="shared" si="1"/>
        <v>0</v>
      </c>
      <c r="I6" s="45">
        <f>E6*Settings!$D$44</f>
        <v>0</v>
      </c>
      <c r="J6" s="46">
        <f t="shared" si="2"/>
        <v>0</v>
      </c>
      <c r="K6" s="42" t="str">
        <f>IF(A6="","",SUMIFS(Ledger!H$6:H$205,Ledger!B$6:B$205,"Zakat",Ledger!A$6:A$205,"&gt;"&amp;A5,Ledger!A$6:A$205,"&lt;="&amp;A6))</f>
        <v/>
      </c>
      <c r="L6" s="47" t="str">
        <f t="shared" ref="L6:L14" si="4">IF(J6=0,"",J6-IF(K6="",0,K6)+IF(L5="",0,L5))</f>
        <v/>
      </c>
      <c r="M6" s="48" t="str">
        <f t="shared" si="3"/>
        <v/>
      </c>
      <c r="N6" s="49" t="str">
        <f t="shared" ref="N6:N14" si="5">IF(A6="","",IF(L5="",0,MAX(0,L5)))</f>
        <v/>
      </c>
    </row>
    <row r="7" spans="1:14" ht="22" customHeight="1" x14ac:dyDescent="0.35">
      <c r="A7" s="39"/>
      <c r="B7" s="40">
        <f>IFERROR(INDEX(Stocks!$1:$1048576,6,MATCH("Total Portfolio",Stocks!$3:$3,0)),0)</f>
        <v>0</v>
      </c>
      <c r="C7" s="40">
        <f>IFERROR(INDEX(Cash!$1:$1048576,6,MATCH("Total Cash",Cash!$3:$3,0)),0)</f>
        <v>0</v>
      </c>
      <c r="D7" s="41">
        <f>IFERROR(INDEX(Debts!$1:$1048576,6,MATCH("Total Debts",Debts!$3:$3,0)),0)</f>
        <v>0</v>
      </c>
      <c r="E7" s="42"/>
      <c r="F7" s="43"/>
      <c r="G7" s="40">
        <f t="shared" si="0"/>
        <v>0</v>
      </c>
      <c r="H7" s="44">
        <f t="shared" si="1"/>
        <v>0</v>
      </c>
      <c r="I7" s="45">
        <f>E7*Settings!$D$44</f>
        <v>0</v>
      </c>
      <c r="J7" s="46">
        <f t="shared" si="2"/>
        <v>0</v>
      </c>
      <c r="K7" s="42" t="str">
        <f>IF(A7="","",SUMIFS(Ledger!H$6:H$205,Ledger!B$6:B$205,"Zakat",Ledger!A$6:A$205,"&gt;"&amp;A6,Ledger!A$6:A$205,"&lt;="&amp;A7))</f>
        <v/>
      </c>
      <c r="L7" s="47" t="str">
        <f t="shared" si="4"/>
        <v/>
      </c>
      <c r="M7" s="48" t="str">
        <f t="shared" si="3"/>
        <v/>
      </c>
      <c r="N7" s="49" t="str">
        <f t="shared" si="5"/>
        <v/>
      </c>
    </row>
    <row r="8" spans="1:14" ht="22" customHeight="1" x14ac:dyDescent="0.35">
      <c r="A8" s="39"/>
      <c r="B8" s="40">
        <f>IFERROR(INDEX(Stocks!$1:$1048576,7,MATCH("Total Portfolio",Stocks!$3:$3,0)),0)</f>
        <v>0</v>
      </c>
      <c r="C8" s="40">
        <f>IFERROR(INDEX(Cash!$1:$1048576,7,MATCH("Total Cash",Cash!$3:$3,0)),0)</f>
        <v>0</v>
      </c>
      <c r="D8" s="41">
        <f>IFERROR(INDEX(Debts!$1:$1048576,7,MATCH("Total Debts",Debts!$3:$3,0)),0)</f>
        <v>0</v>
      </c>
      <c r="E8" s="42"/>
      <c r="F8" s="43"/>
      <c r="G8" s="40">
        <f t="shared" si="0"/>
        <v>0</v>
      </c>
      <c r="H8" s="44">
        <f t="shared" si="1"/>
        <v>0</v>
      </c>
      <c r="I8" s="45">
        <f>E8*Settings!$D$44</f>
        <v>0</v>
      </c>
      <c r="J8" s="46">
        <f t="shared" si="2"/>
        <v>0</v>
      </c>
      <c r="K8" s="42" t="str">
        <f>IF(A8="","",SUMIFS(Ledger!H$6:H$205,Ledger!B$6:B$205,"Zakat",Ledger!A$6:A$205,"&gt;"&amp;A7,Ledger!A$6:A$205,"&lt;="&amp;A8))</f>
        <v/>
      </c>
      <c r="L8" s="47" t="str">
        <f t="shared" si="4"/>
        <v/>
      </c>
      <c r="M8" s="48" t="str">
        <f t="shared" si="3"/>
        <v/>
      </c>
      <c r="N8" s="49" t="str">
        <f t="shared" si="5"/>
        <v/>
      </c>
    </row>
    <row r="9" spans="1:14" ht="22" customHeight="1" x14ac:dyDescent="0.35">
      <c r="A9" s="39"/>
      <c r="B9" s="40">
        <f>IFERROR(INDEX(Stocks!$1:$1048576,8,MATCH("Total Portfolio",Stocks!$3:$3,0)),0)</f>
        <v>0</v>
      </c>
      <c r="C9" s="40">
        <f>IFERROR(INDEX(Cash!$1:$1048576,8,MATCH("Total Cash",Cash!$3:$3,0)),0)</f>
        <v>0</v>
      </c>
      <c r="D9" s="41">
        <f>IFERROR(INDEX(Debts!$1:$1048576,8,MATCH("Total Debts",Debts!$3:$3,0)),0)</f>
        <v>0</v>
      </c>
      <c r="E9" s="42"/>
      <c r="F9" s="43"/>
      <c r="G9" s="40">
        <f t="shared" si="0"/>
        <v>0</v>
      </c>
      <c r="H9" s="44">
        <f t="shared" si="1"/>
        <v>0</v>
      </c>
      <c r="I9" s="45">
        <f>E9*Settings!$D$44</f>
        <v>0</v>
      </c>
      <c r="J9" s="46">
        <f t="shared" si="2"/>
        <v>0</v>
      </c>
      <c r="K9" s="42" t="str">
        <f>IF(A9="","",SUMIFS(Ledger!H$6:H$205,Ledger!B$6:B$205,"Zakat",Ledger!A$6:A$205,"&gt;"&amp;A8,Ledger!A$6:A$205,"&lt;="&amp;A9))</f>
        <v/>
      </c>
      <c r="L9" s="47" t="str">
        <f t="shared" si="4"/>
        <v/>
      </c>
      <c r="M9" s="48" t="str">
        <f t="shared" si="3"/>
        <v/>
      </c>
      <c r="N9" s="49" t="str">
        <f t="shared" si="5"/>
        <v/>
      </c>
    </row>
    <row r="10" spans="1:14" ht="22" customHeight="1" x14ac:dyDescent="0.35">
      <c r="A10" s="39"/>
      <c r="B10" s="40">
        <f>IFERROR(INDEX(Stocks!$1:$1048576,9,MATCH("Total Portfolio",Stocks!$3:$3,0)),0)</f>
        <v>0</v>
      </c>
      <c r="C10" s="40">
        <f>IFERROR(INDEX(Cash!$1:$1048576,9,MATCH("Total Cash",Cash!$3:$3,0)),0)</f>
        <v>0</v>
      </c>
      <c r="D10" s="41">
        <f>IFERROR(INDEX(Debts!$1:$1048576,9,MATCH("Total Debts",Debts!$3:$3,0)),0)</f>
        <v>0</v>
      </c>
      <c r="E10" s="42"/>
      <c r="F10" s="43"/>
      <c r="G10" s="40">
        <f t="shared" si="0"/>
        <v>0</v>
      </c>
      <c r="H10" s="44">
        <f t="shared" si="1"/>
        <v>0</v>
      </c>
      <c r="I10" s="45">
        <f>E10*Settings!$D$44</f>
        <v>0</v>
      </c>
      <c r="J10" s="46">
        <f t="shared" si="2"/>
        <v>0</v>
      </c>
      <c r="K10" s="42" t="str">
        <f>IF(A10="","",SUMIFS(Ledger!H$6:H$205,Ledger!B$6:B$205,"Zakat",Ledger!A$6:A$205,"&gt;"&amp;A9,Ledger!A$6:A$205,"&lt;="&amp;A10))</f>
        <v/>
      </c>
      <c r="L10" s="47" t="str">
        <f t="shared" si="4"/>
        <v/>
      </c>
      <c r="M10" s="48" t="str">
        <f t="shared" si="3"/>
        <v/>
      </c>
      <c r="N10" s="49" t="str">
        <f t="shared" si="5"/>
        <v/>
      </c>
    </row>
    <row r="11" spans="1:14" ht="22" customHeight="1" x14ac:dyDescent="0.35">
      <c r="A11" s="39"/>
      <c r="B11" s="40">
        <f>IFERROR(INDEX(Stocks!$1:$1048576,10,MATCH("Total Portfolio",Stocks!$3:$3,0)),0)</f>
        <v>0</v>
      </c>
      <c r="C11" s="40">
        <f>IFERROR(INDEX(Cash!$1:$1048576,10,MATCH("Total Cash",Cash!$3:$3,0)),0)</f>
        <v>0</v>
      </c>
      <c r="D11" s="41">
        <f>IFERROR(INDEX(Debts!$1:$1048576,10,MATCH("Total Debts",Debts!$3:$3,0)),0)</f>
        <v>0</v>
      </c>
      <c r="E11" s="42"/>
      <c r="F11" s="43"/>
      <c r="G11" s="40">
        <f t="shared" si="0"/>
        <v>0</v>
      </c>
      <c r="H11" s="44">
        <f t="shared" si="1"/>
        <v>0</v>
      </c>
      <c r="I11" s="45">
        <f>E11*Settings!$D$44</f>
        <v>0</v>
      </c>
      <c r="J11" s="46">
        <f t="shared" si="2"/>
        <v>0</v>
      </c>
      <c r="K11" s="42" t="str">
        <f>IF(A11="","",SUMIFS(Ledger!H$6:H$205,Ledger!B$6:B$205,"Zakat",Ledger!A$6:A$205,"&gt;"&amp;A10,Ledger!A$6:A$205,"&lt;="&amp;A11))</f>
        <v/>
      </c>
      <c r="L11" s="47" t="str">
        <f t="shared" si="4"/>
        <v/>
      </c>
      <c r="M11" s="48" t="str">
        <f t="shared" si="3"/>
        <v/>
      </c>
      <c r="N11" s="49" t="str">
        <f t="shared" si="5"/>
        <v/>
      </c>
    </row>
    <row r="12" spans="1:14" ht="22" customHeight="1" x14ac:dyDescent="0.35">
      <c r="A12" s="39"/>
      <c r="B12" s="40">
        <f>IFERROR(INDEX(Stocks!$1:$1048576,11,MATCH("Total Portfolio",Stocks!$3:$3,0)),0)</f>
        <v>0</v>
      </c>
      <c r="C12" s="40">
        <f>IFERROR(INDEX(Cash!$1:$1048576,11,MATCH("Total Cash",Cash!$3:$3,0)),0)</f>
        <v>0</v>
      </c>
      <c r="D12" s="41">
        <f>IFERROR(INDEX(Debts!$1:$1048576,11,MATCH("Total Debts",Debts!$3:$3,0)),0)</f>
        <v>0</v>
      </c>
      <c r="E12" s="42"/>
      <c r="F12" s="43"/>
      <c r="G12" s="40">
        <f t="shared" si="0"/>
        <v>0</v>
      </c>
      <c r="H12" s="44">
        <f t="shared" si="1"/>
        <v>0</v>
      </c>
      <c r="I12" s="45">
        <f>E12*Settings!$D$44</f>
        <v>0</v>
      </c>
      <c r="J12" s="46">
        <f t="shared" si="2"/>
        <v>0</v>
      </c>
      <c r="K12" s="42" t="str">
        <f>IF(A12="","",SUMIFS(Ledger!H$6:H$205,Ledger!B$6:B$205,"Zakat",Ledger!A$6:A$205,"&gt;"&amp;A11,Ledger!A$6:A$205,"&lt;="&amp;A12))</f>
        <v/>
      </c>
      <c r="L12" s="47" t="str">
        <f t="shared" si="4"/>
        <v/>
      </c>
      <c r="M12" s="48" t="str">
        <f t="shared" si="3"/>
        <v/>
      </c>
      <c r="N12" s="49" t="str">
        <f t="shared" si="5"/>
        <v/>
      </c>
    </row>
    <row r="13" spans="1:14" ht="22" customHeight="1" x14ac:dyDescent="0.35">
      <c r="A13" s="39"/>
      <c r="B13" s="40">
        <f>IFERROR(INDEX(Stocks!$1:$1048576,12,MATCH("Total Portfolio",Stocks!$3:$3,0)),0)</f>
        <v>0</v>
      </c>
      <c r="C13" s="40">
        <f>IFERROR(INDEX(Cash!$1:$1048576,12,MATCH("Total Cash",Cash!$3:$3,0)),0)</f>
        <v>0</v>
      </c>
      <c r="D13" s="41">
        <f>IFERROR(INDEX(Debts!$1:$1048576,12,MATCH("Total Debts",Debts!$3:$3,0)),0)</f>
        <v>0</v>
      </c>
      <c r="E13" s="42"/>
      <c r="F13" s="43"/>
      <c r="G13" s="40">
        <f t="shared" si="0"/>
        <v>0</v>
      </c>
      <c r="H13" s="44">
        <f t="shared" si="1"/>
        <v>0</v>
      </c>
      <c r="I13" s="45">
        <f>E13*Settings!$D$44</f>
        <v>0</v>
      </c>
      <c r="J13" s="46">
        <f t="shared" si="2"/>
        <v>0</v>
      </c>
      <c r="K13" s="42" t="str">
        <f>IF(A13="","",SUMIFS(Ledger!H$6:H$205,Ledger!B$6:B$205,"Zakat",Ledger!A$6:A$205,"&gt;"&amp;A12,Ledger!A$6:A$205,"&lt;="&amp;A13))</f>
        <v/>
      </c>
      <c r="L13" s="47" t="str">
        <f t="shared" si="4"/>
        <v/>
      </c>
      <c r="M13" s="48" t="str">
        <f t="shared" si="3"/>
        <v/>
      </c>
      <c r="N13" s="49" t="str">
        <f t="shared" si="5"/>
        <v/>
      </c>
    </row>
    <row r="14" spans="1:14" ht="22" customHeight="1" x14ac:dyDescent="0.35">
      <c r="A14" s="39"/>
      <c r="B14" s="40">
        <f>IFERROR(INDEX(Stocks!$1:$1048576,13,MATCH("Total Portfolio",Stocks!$3:$3,0)),0)</f>
        <v>0</v>
      </c>
      <c r="C14" s="40">
        <f>IFERROR(INDEX(Cash!$1:$1048576,13,MATCH("Total Cash",Cash!$3:$3,0)),0)</f>
        <v>0</v>
      </c>
      <c r="D14" s="41">
        <f>IFERROR(INDEX(Debts!$1:$1048576,13,MATCH("Total Debts",Debts!$3:$3,0)),0)</f>
        <v>0</v>
      </c>
      <c r="E14" s="42"/>
      <c r="F14" s="43"/>
      <c r="G14" s="40">
        <f t="shared" si="0"/>
        <v>0</v>
      </c>
      <c r="H14" s="44">
        <f t="shared" si="1"/>
        <v>0</v>
      </c>
      <c r="I14" s="45">
        <f>E14*Settings!$D$44</f>
        <v>0</v>
      </c>
      <c r="J14" s="46">
        <f t="shared" si="2"/>
        <v>0</v>
      </c>
      <c r="K14" s="42" t="str">
        <f>IF(A14="","",SUMIFS(Ledger!H$6:H$205,Ledger!B$6:B$205,"Zakat",Ledger!A$6:A$205,"&gt;"&amp;A13,Ledger!A$6:A$205,"&lt;="&amp;A14))</f>
        <v/>
      </c>
      <c r="L14" s="47" t="str">
        <f t="shared" si="4"/>
        <v/>
      </c>
      <c r="M14" s="48" t="str">
        <f t="shared" si="3"/>
        <v/>
      </c>
      <c r="N14" s="49" t="str">
        <f t="shared" si="5"/>
        <v/>
      </c>
    </row>
    <row r="15" spans="1:14" x14ac:dyDescent="0.35">
      <c r="A15" s="1"/>
      <c r="B15" s="1"/>
      <c r="C15" s="1"/>
      <c r="D15" s="1"/>
      <c r="E15" s="1"/>
      <c r="F15" s="1"/>
      <c r="G15" s="1"/>
      <c r="H15" s="1"/>
      <c r="I15" s="1"/>
      <c r="J15" s="1"/>
      <c r="K15" s="1"/>
      <c r="L15" s="1"/>
      <c r="M15" s="1"/>
      <c r="N15" s="1"/>
    </row>
    <row r="16" spans="1:14" ht="10" customHeight="1" x14ac:dyDescent="0.35">
      <c r="A16" s="1"/>
      <c r="B16" s="1"/>
      <c r="C16" s="1"/>
      <c r="D16" s="1"/>
      <c r="E16" s="1"/>
      <c r="F16" s="1"/>
      <c r="G16" s="1"/>
      <c r="H16" s="1"/>
      <c r="I16" s="1"/>
      <c r="J16" s="1"/>
      <c r="K16" s="1"/>
      <c r="L16" s="1"/>
      <c r="M16" s="1"/>
      <c r="N16" s="1"/>
    </row>
    <row r="17" spans="1:14" ht="26" customHeight="1" x14ac:dyDescent="0.35">
      <c r="A17" s="89" t="s">
        <v>180</v>
      </c>
      <c r="B17" s="76"/>
      <c r="C17" s="76"/>
      <c r="D17" s="76"/>
      <c r="E17" s="76"/>
      <c r="F17" s="76"/>
      <c r="G17" s="76"/>
      <c r="H17" s="76"/>
      <c r="I17" s="76"/>
      <c r="J17" s="76"/>
      <c r="K17" s="76"/>
      <c r="L17" s="76"/>
      <c r="M17" s="76"/>
      <c r="N17" s="77"/>
    </row>
    <row r="18" spans="1:14" ht="36" customHeight="1" x14ac:dyDescent="0.35">
      <c r="A18" s="92" t="s">
        <v>181</v>
      </c>
      <c r="B18" s="77"/>
      <c r="C18" s="92" t="s">
        <v>182</v>
      </c>
      <c r="D18" s="77"/>
      <c r="E18" s="92" t="s">
        <v>183</v>
      </c>
      <c r="F18" s="77"/>
      <c r="G18" s="92" t="s">
        <v>184</v>
      </c>
      <c r="H18" s="77"/>
      <c r="I18" s="92" t="s">
        <v>185</v>
      </c>
      <c r="J18" s="77"/>
      <c r="K18" s="92" t="s">
        <v>186</v>
      </c>
      <c r="L18" s="76"/>
      <c r="M18" s="76"/>
      <c r="N18" s="77"/>
    </row>
    <row r="19" spans="1:14" ht="42" customHeight="1" x14ac:dyDescent="0.35">
      <c r="A19" s="104">
        <f>SUMIF(J5:J14,"&gt;"&amp;0,J5:J14)</f>
        <v>0</v>
      </c>
      <c r="B19" s="87"/>
      <c r="C19" s="105">
        <f>SUMIF(Ledger!B$6:B$205,"Zakat",Ledger!H$6:H$205)</f>
        <v>0</v>
      </c>
      <c r="D19" s="87"/>
      <c r="E19" s="98">
        <f>SUMIF(Ledger!B$6:B$205,"Sadaqah",Ledger!H$6:H$205)</f>
        <v>0</v>
      </c>
      <c r="F19" s="87"/>
      <c r="G19" s="99">
        <f>SUMIF(Ledger!B$6:B$205,"Fitrana",Ledger!H$6:H$205)</f>
        <v>0</v>
      </c>
      <c r="H19" s="87"/>
      <c r="I19" s="106">
        <f>SUMIF(Ledger!B$6:B$205,"Qurbani",Ledger!H$6:H$205)</f>
        <v>0</v>
      </c>
      <c r="J19" s="87"/>
      <c r="K19" s="94">
        <f>SUMIF(J5:J14,"&gt;"&amp;0,J5:J14)-SUMIF(Ledger!B$6:B$205,"Zakat",Ledger!H$6:H$205)</f>
        <v>0</v>
      </c>
      <c r="L19" s="95"/>
      <c r="M19" s="95"/>
      <c r="N19" s="87"/>
    </row>
    <row r="20" spans="1:14" x14ac:dyDescent="0.35">
      <c r="A20" s="1"/>
      <c r="B20" s="1"/>
      <c r="C20" s="1"/>
      <c r="D20" s="1"/>
      <c r="E20" s="1"/>
      <c r="F20" s="1"/>
      <c r="G20" s="1"/>
      <c r="H20" s="1"/>
      <c r="I20" s="1"/>
      <c r="J20" s="1"/>
      <c r="K20" s="1"/>
      <c r="L20" s="1"/>
      <c r="M20" s="1"/>
      <c r="N20" s="1"/>
    </row>
    <row r="21" spans="1:14" ht="10" customHeight="1" x14ac:dyDescent="0.35">
      <c r="A21" s="1"/>
      <c r="B21" s="1"/>
      <c r="C21" s="1"/>
      <c r="D21" s="1"/>
      <c r="E21" s="1"/>
      <c r="F21" s="1"/>
      <c r="G21" s="1"/>
      <c r="H21" s="1"/>
      <c r="I21" s="1"/>
      <c r="J21" s="1"/>
      <c r="K21" s="1"/>
      <c r="L21" s="1"/>
      <c r="M21" s="1"/>
      <c r="N21" s="1"/>
    </row>
    <row r="22" spans="1:14" ht="28" customHeight="1" x14ac:dyDescent="0.35">
      <c r="A22" s="89" t="s">
        <v>187</v>
      </c>
      <c r="B22" s="76"/>
      <c r="C22" s="76"/>
      <c r="D22" s="76"/>
      <c r="E22" s="76"/>
      <c r="F22" s="76"/>
      <c r="G22" s="76"/>
      <c r="H22" s="76"/>
      <c r="I22" s="76"/>
      <c r="J22" s="76"/>
      <c r="K22" s="76"/>
      <c r="L22" s="76"/>
      <c r="M22" s="76"/>
      <c r="N22" s="77"/>
    </row>
    <row r="23" spans="1:14" ht="32" customHeight="1" x14ac:dyDescent="0.35">
      <c r="A23" s="102" t="s">
        <v>188</v>
      </c>
      <c r="B23" s="76"/>
      <c r="C23" s="76"/>
      <c r="D23" s="76"/>
      <c r="E23" s="76"/>
      <c r="F23" s="76"/>
      <c r="G23" s="76"/>
      <c r="H23" s="76"/>
      <c r="I23" s="76"/>
      <c r="J23" s="76"/>
      <c r="K23" s="76"/>
      <c r="L23" s="76"/>
      <c r="M23" s="76"/>
      <c r="N23" s="77"/>
    </row>
    <row r="24" spans="1:14" ht="26" customHeight="1" x14ac:dyDescent="0.35">
      <c r="A24" s="92" t="s">
        <v>189</v>
      </c>
      <c r="B24" s="93"/>
      <c r="C24" s="92" t="s">
        <v>190</v>
      </c>
      <c r="D24" s="93"/>
      <c r="E24" s="92" t="s">
        <v>191</v>
      </c>
      <c r="F24" s="93"/>
      <c r="G24" s="92" t="s">
        <v>63</v>
      </c>
      <c r="H24" s="93"/>
      <c r="I24" s="93"/>
      <c r="J24" s="92" t="s">
        <v>192</v>
      </c>
      <c r="K24" s="93"/>
      <c r="L24" s="1"/>
      <c r="M24" s="1"/>
      <c r="N24" s="1"/>
    </row>
    <row r="25" spans="1:14" ht="38" customHeight="1" x14ac:dyDescent="0.35">
      <c r="A25" s="96" t="str">
        <f>IF(COUNTA(A5:A14)=0,"No dates yet",MAX(A5:A14))</f>
        <v>No dates yet</v>
      </c>
      <c r="B25" s="93"/>
      <c r="C25" s="97" t="str">
        <f>IF(A25="No dates yet","",A25+354)</f>
        <v/>
      </c>
      <c r="D25" s="93"/>
      <c r="E25" s="103" t="str">
        <f ca="1">IF(C25="","",MAX(0,C25-TODAY()))</f>
        <v/>
      </c>
      <c r="F25" s="93"/>
      <c r="G25" s="100" t="str">
        <f ca="1">IF(C25="","",IF(TODAY()&gt;C25,"🕌 Zakat Due Now!",IF(C25-TODAY()&lt;=30,"⚠️ Due Soon (&lt; 30 days)","✅ Hawl in progress")))</f>
        <v/>
      </c>
      <c r="H25" s="93"/>
      <c r="I25" s="93"/>
      <c r="J25" s="101">
        <f ca="1">TODAY()</f>
        <v>46094</v>
      </c>
      <c r="K25" s="93"/>
      <c r="L25" s="1"/>
      <c r="M25" s="1"/>
      <c r="N25" s="1"/>
    </row>
  </sheetData>
  <autoFilter ref="A3:N14" xr:uid="{00000000-0009-0000-0000-000002000000}"/>
  <mergeCells count="27">
    <mergeCell ref="A25:B25"/>
    <mergeCell ref="J24:K24"/>
    <mergeCell ref="C25:D25"/>
    <mergeCell ref="E19:F19"/>
    <mergeCell ref="G19:H19"/>
    <mergeCell ref="G25:I25"/>
    <mergeCell ref="J25:K25"/>
    <mergeCell ref="A23:N23"/>
    <mergeCell ref="A22:N22"/>
    <mergeCell ref="E25:F25"/>
    <mergeCell ref="A19:B19"/>
    <mergeCell ref="C19:D19"/>
    <mergeCell ref="I19:J19"/>
    <mergeCell ref="A24:B24"/>
    <mergeCell ref="C24:D24"/>
    <mergeCell ref="E24:F24"/>
    <mergeCell ref="K19:N19"/>
    <mergeCell ref="A1:N1"/>
    <mergeCell ref="G24:I24"/>
    <mergeCell ref="K18:N18"/>
    <mergeCell ref="A18:B18"/>
    <mergeCell ref="G18:H18"/>
    <mergeCell ref="I18:J18"/>
    <mergeCell ref="A2:N2"/>
    <mergeCell ref="A17:N17"/>
    <mergeCell ref="C18:D18"/>
    <mergeCell ref="E18:F18"/>
  </mergeCells>
  <conditionalFormatting sqref="A5:A14">
    <cfRule type="expression" dxfId="8" priority="1">
      <formula>AND(A5&lt;&gt;"",COUNTIF($A$5:$A$14,A5)&gt;1)</formula>
    </cfRule>
  </conditionalFormatting>
  <conditionalFormatting sqref="G25:I25">
    <cfRule type="expression" dxfId="7" priority="6">
      <formula>NOT(ISERROR(SEARCH("🕌",G25)))</formula>
    </cfRule>
    <cfRule type="expression" dxfId="6" priority="7">
      <formula>NOT(ISERROR(SEARCH("⚠️",G25)))</formula>
    </cfRule>
    <cfRule type="expression" dxfId="5" priority="8">
      <formula>NOT(ISERROR(SEARCH("✅",G25)))</formula>
    </cfRule>
  </conditionalFormatting>
  <conditionalFormatting sqref="M5:M14">
    <cfRule type="expression" dxfId="4" priority="2">
      <formula>NOT(ISERROR(SEARCH("✅",M5)))</formula>
    </cfRule>
    <cfRule type="expression" dxfId="3" priority="3">
      <formula>NOT(ISERROR(SEARCH("⚠️",M5)))</formula>
    </cfRule>
    <cfRule type="expression" dxfId="2" priority="4">
      <formula>NOT(ISERROR(SEARCH("❌",M5)))</formula>
    </cfRule>
  </conditionalFormatting>
  <conditionalFormatting sqref="N5:N14">
    <cfRule type="expression" dxfId="1" priority="5">
      <formula>AND(N5&lt;&gt;"",N5&gt;0)</formula>
    </cfRule>
  </conditionalFormatting>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13"/>
  <sheetViews>
    <sheetView showGridLines="0" workbookViewId="0">
      <pane ySplit="3" topLeftCell="A4" activePane="bottomLeft" state="frozen"/>
      <selection pane="bottomLeft"/>
    </sheetView>
  </sheetViews>
  <sheetFormatPr defaultRowHeight="14.5" x14ac:dyDescent="0.35"/>
  <cols>
    <col min="1" max="1" width="14" customWidth="1"/>
    <col min="2" max="8" width="18" customWidth="1"/>
  </cols>
  <sheetData>
    <row r="1" spans="1:8" ht="30" customHeight="1" x14ac:dyDescent="0.35">
      <c r="A1" s="85" t="s">
        <v>193</v>
      </c>
      <c r="B1" s="76"/>
      <c r="C1" s="76"/>
      <c r="D1" s="76"/>
      <c r="E1" s="76"/>
      <c r="F1" s="76"/>
      <c r="G1" s="76"/>
      <c r="H1" s="77"/>
    </row>
    <row r="2" spans="1:8" ht="30" customHeight="1" x14ac:dyDescent="0.35">
      <c r="A2" s="91" t="s">
        <v>194</v>
      </c>
      <c r="B2" s="76"/>
      <c r="C2" s="76"/>
      <c r="D2" s="76"/>
      <c r="E2" s="76"/>
      <c r="F2" s="76"/>
      <c r="G2" s="76"/>
      <c r="H2" s="77"/>
    </row>
    <row r="3" spans="1:8" ht="26" customHeight="1" x14ac:dyDescent="0.35">
      <c r="A3" s="36" t="s">
        <v>195</v>
      </c>
      <c r="B3" s="36" t="s">
        <v>196</v>
      </c>
      <c r="C3" s="36" t="s">
        <v>197</v>
      </c>
      <c r="D3" s="36" t="s">
        <v>198</v>
      </c>
      <c r="E3" s="36" t="s">
        <v>199</v>
      </c>
      <c r="F3" s="36" t="s">
        <v>200</v>
      </c>
      <c r="G3" s="36" t="s">
        <v>201</v>
      </c>
      <c r="H3" s="36" t="s">
        <v>202</v>
      </c>
    </row>
    <row r="4" spans="1:8" ht="22" customHeight="1" x14ac:dyDescent="0.35">
      <c r="A4" s="39"/>
      <c r="B4" s="50"/>
      <c r="C4" s="50"/>
      <c r="D4" s="50"/>
      <c r="E4" s="50"/>
      <c r="F4" s="50"/>
      <c r="G4" s="50"/>
      <c r="H4" s="44">
        <f t="shared" ref="H4:H13" si="0">SUM(B4:G4)</f>
        <v>0</v>
      </c>
    </row>
    <row r="5" spans="1:8" ht="22" customHeight="1" x14ac:dyDescent="0.35">
      <c r="A5" s="39"/>
      <c r="B5" s="51"/>
      <c r="C5" s="51"/>
      <c r="D5" s="51"/>
      <c r="E5" s="51"/>
      <c r="F5" s="51"/>
      <c r="G5" s="51"/>
      <c r="H5" s="44">
        <f t="shared" si="0"/>
        <v>0</v>
      </c>
    </row>
    <row r="6" spans="1:8" ht="22" customHeight="1" x14ac:dyDescent="0.35">
      <c r="A6" s="39"/>
      <c r="B6" s="50"/>
      <c r="C6" s="50"/>
      <c r="D6" s="50"/>
      <c r="E6" s="50"/>
      <c r="F6" s="50"/>
      <c r="G6" s="50"/>
      <c r="H6" s="44">
        <f t="shared" si="0"/>
        <v>0</v>
      </c>
    </row>
    <row r="7" spans="1:8" ht="22" customHeight="1" x14ac:dyDescent="0.35">
      <c r="A7" s="39"/>
      <c r="B7" s="51"/>
      <c r="C7" s="51"/>
      <c r="D7" s="51"/>
      <c r="E7" s="51"/>
      <c r="F7" s="51"/>
      <c r="G7" s="51"/>
      <c r="H7" s="44">
        <f t="shared" si="0"/>
        <v>0</v>
      </c>
    </row>
    <row r="8" spans="1:8" ht="22" customHeight="1" x14ac:dyDescent="0.35">
      <c r="A8" s="39"/>
      <c r="B8" s="50"/>
      <c r="C8" s="50"/>
      <c r="D8" s="50"/>
      <c r="E8" s="50"/>
      <c r="F8" s="50"/>
      <c r="G8" s="50"/>
      <c r="H8" s="44">
        <f t="shared" si="0"/>
        <v>0</v>
      </c>
    </row>
    <row r="9" spans="1:8" ht="22" customHeight="1" x14ac:dyDescent="0.35">
      <c r="A9" s="39"/>
      <c r="B9" s="51"/>
      <c r="C9" s="51"/>
      <c r="D9" s="51"/>
      <c r="E9" s="51"/>
      <c r="F9" s="51"/>
      <c r="G9" s="51"/>
      <c r="H9" s="44">
        <f t="shared" si="0"/>
        <v>0</v>
      </c>
    </row>
    <row r="10" spans="1:8" ht="22" customHeight="1" x14ac:dyDescent="0.35">
      <c r="A10" s="39"/>
      <c r="B10" s="50"/>
      <c r="C10" s="50"/>
      <c r="D10" s="50"/>
      <c r="E10" s="50"/>
      <c r="F10" s="50"/>
      <c r="G10" s="50"/>
      <c r="H10" s="44">
        <f t="shared" si="0"/>
        <v>0</v>
      </c>
    </row>
    <row r="11" spans="1:8" ht="22" customHeight="1" x14ac:dyDescent="0.35">
      <c r="A11" s="39"/>
      <c r="B11" s="51"/>
      <c r="C11" s="51"/>
      <c r="D11" s="51"/>
      <c r="E11" s="51"/>
      <c r="F11" s="51"/>
      <c r="G11" s="51"/>
      <c r="H11" s="44">
        <f t="shared" si="0"/>
        <v>0</v>
      </c>
    </row>
    <row r="12" spans="1:8" ht="22" customHeight="1" x14ac:dyDescent="0.35">
      <c r="A12" s="39"/>
      <c r="B12" s="50"/>
      <c r="C12" s="50"/>
      <c r="D12" s="50"/>
      <c r="E12" s="50"/>
      <c r="F12" s="50"/>
      <c r="G12" s="50"/>
      <c r="H12" s="44">
        <f t="shared" si="0"/>
        <v>0</v>
      </c>
    </row>
    <row r="13" spans="1:8" ht="22" customHeight="1" x14ac:dyDescent="0.35">
      <c r="A13" s="39"/>
      <c r="B13" s="51"/>
      <c r="C13" s="51"/>
      <c r="D13" s="51"/>
      <c r="E13" s="51"/>
      <c r="F13" s="51"/>
      <c r="G13" s="51"/>
      <c r="H13" s="44">
        <f t="shared" si="0"/>
        <v>0</v>
      </c>
    </row>
  </sheetData>
  <autoFilter ref="A3:H13" xr:uid="{00000000-0009-0000-0000-000003000000}"/>
  <mergeCells count="2">
    <mergeCell ref="A2:H2"/>
    <mergeCell ref="A1:H1"/>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3"/>
  <sheetViews>
    <sheetView showGridLines="0" workbookViewId="0">
      <pane ySplit="3" topLeftCell="A4" activePane="bottomLeft" state="frozen"/>
      <selection pane="bottomLeft"/>
    </sheetView>
  </sheetViews>
  <sheetFormatPr defaultRowHeight="14.5" x14ac:dyDescent="0.35"/>
  <cols>
    <col min="1" max="1" width="14" customWidth="1"/>
    <col min="2" max="8" width="18" customWidth="1"/>
  </cols>
  <sheetData>
    <row r="1" spans="1:8" ht="30" customHeight="1" x14ac:dyDescent="0.35">
      <c r="A1" s="85" t="s">
        <v>203</v>
      </c>
      <c r="B1" s="76"/>
      <c r="C1" s="76"/>
      <c r="D1" s="76"/>
      <c r="E1" s="76"/>
      <c r="F1" s="76"/>
      <c r="G1" s="76"/>
      <c r="H1" s="77"/>
    </row>
    <row r="2" spans="1:8" ht="30" customHeight="1" x14ac:dyDescent="0.35">
      <c r="A2" s="91" t="s">
        <v>204</v>
      </c>
      <c r="B2" s="76"/>
      <c r="C2" s="76"/>
      <c r="D2" s="76"/>
      <c r="E2" s="76"/>
      <c r="F2" s="76"/>
      <c r="G2" s="76"/>
      <c r="H2" s="77"/>
    </row>
    <row r="3" spans="1:8" ht="26" customHeight="1" x14ac:dyDescent="0.35">
      <c r="A3" s="36" t="s">
        <v>195</v>
      </c>
      <c r="B3" s="36" t="s">
        <v>205</v>
      </c>
      <c r="C3" s="36" t="s">
        <v>206</v>
      </c>
      <c r="D3" s="36" t="s">
        <v>207</v>
      </c>
      <c r="E3" s="36" t="s">
        <v>208</v>
      </c>
      <c r="F3" s="36" t="s">
        <v>209</v>
      </c>
      <c r="G3" s="36" t="s">
        <v>210</v>
      </c>
      <c r="H3" s="36" t="s">
        <v>211</v>
      </c>
    </row>
    <row r="4" spans="1:8" ht="22" customHeight="1" x14ac:dyDescent="0.35">
      <c r="A4" s="39"/>
      <c r="B4" s="50"/>
      <c r="C4" s="50"/>
      <c r="D4" s="50"/>
      <c r="E4" s="50"/>
      <c r="F4" s="50"/>
      <c r="G4" s="50"/>
      <c r="H4" s="44">
        <f t="shared" ref="H4:H13" si="0">SUM(B4:G4)</f>
        <v>0</v>
      </c>
    </row>
    <row r="5" spans="1:8" ht="22" customHeight="1" x14ac:dyDescent="0.35">
      <c r="A5" s="39"/>
      <c r="B5" s="51"/>
      <c r="C5" s="51"/>
      <c r="D5" s="51"/>
      <c r="E5" s="51"/>
      <c r="F5" s="51"/>
      <c r="G5" s="51"/>
      <c r="H5" s="44">
        <f t="shared" si="0"/>
        <v>0</v>
      </c>
    </row>
    <row r="6" spans="1:8" ht="22" customHeight="1" x14ac:dyDescent="0.35">
      <c r="A6" s="39"/>
      <c r="B6" s="50"/>
      <c r="C6" s="50"/>
      <c r="D6" s="50"/>
      <c r="E6" s="50"/>
      <c r="F6" s="50"/>
      <c r="G6" s="50"/>
      <c r="H6" s="44">
        <f t="shared" si="0"/>
        <v>0</v>
      </c>
    </row>
    <row r="7" spans="1:8" ht="22" customHeight="1" x14ac:dyDescent="0.35">
      <c r="A7" s="39"/>
      <c r="B7" s="51"/>
      <c r="C7" s="51"/>
      <c r="D7" s="51"/>
      <c r="E7" s="51"/>
      <c r="F7" s="51"/>
      <c r="G7" s="51"/>
      <c r="H7" s="44">
        <f t="shared" si="0"/>
        <v>0</v>
      </c>
    </row>
    <row r="8" spans="1:8" ht="22" customHeight="1" x14ac:dyDescent="0.35">
      <c r="A8" s="39"/>
      <c r="B8" s="50"/>
      <c r="C8" s="50"/>
      <c r="D8" s="50"/>
      <c r="E8" s="50"/>
      <c r="F8" s="50"/>
      <c r="G8" s="50"/>
      <c r="H8" s="44">
        <f t="shared" si="0"/>
        <v>0</v>
      </c>
    </row>
    <row r="9" spans="1:8" ht="22" customHeight="1" x14ac:dyDescent="0.35">
      <c r="A9" s="39"/>
      <c r="B9" s="51"/>
      <c r="C9" s="51"/>
      <c r="D9" s="51"/>
      <c r="E9" s="51"/>
      <c r="F9" s="51"/>
      <c r="G9" s="51"/>
      <c r="H9" s="44">
        <f t="shared" si="0"/>
        <v>0</v>
      </c>
    </row>
    <row r="10" spans="1:8" ht="22" customHeight="1" x14ac:dyDescent="0.35">
      <c r="A10" s="39"/>
      <c r="B10" s="50"/>
      <c r="C10" s="50"/>
      <c r="D10" s="50"/>
      <c r="E10" s="50"/>
      <c r="F10" s="50"/>
      <c r="G10" s="50"/>
      <c r="H10" s="44">
        <f t="shared" si="0"/>
        <v>0</v>
      </c>
    </row>
    <row r="11" spans="1:8" ht="22" customHeight="1" x14ac:dyDescent="0.35">
      <c r="A11" s="39"/>
      <c r="B11" s="51"/>
      <c r="C11" s="51"/>
      <c r="D11" s="51"/>
      <c r="E11" s="51"/>
      <c r="F11" s="51"/>
      <c r="G11" s="51"/>
      <c r="H11" s="44">
        <f t="shared" si="0"/>
        <v>0</v>
      </c>
    </row>
    <row r="12" spans="1:8" ht="22" customHeight="1" x14ac:dyDescent="0.35">
      <c r="A12" s="39"/>
      <c r="B12" s="50"/>
      <c r="C12" s="50"/>
      <c r="D12" s="50"/>
      <c r="E12" s="50"/>
      <c r="F12" s="50"/>
      <c r="G12" s="50"/>
      <c r="H12" s="44">
        <f t="shared" si="0"/>
        <v>0</v>
      </c>
    </row>
    <row r="13" spans="1:8" ht="22" customHeight="1" x14ac:dyDescent="0.35">
      <c r="A13" s="39"/>
      <c r="B13" s="51"/>
      <c r="C13" s="51"/>
      <c r="D13" s="51"/>
      <c r="E13" s="51"/>
      <c r="F13" s="51"/>
      <c r="G13" s="51"/>
      <c r="H13" s="44">
        <f t="shared" si="0"/>
        <v>0</v>
      </c>
    </row>
  </sheetData>
  <autoFilter ref="A3:H13" xr:uid="{00000000-0009-0000-0000-000004000000}"/>
  <mergeCells count="2">
    <mergeCell ref="A2:H2"/>
    <mergeCell ref="A1:H1"/>
  </mergeCell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3"/>
  <sheetViews>
    <sheetView showGridLines="0" workbookViewId="0">
      <pane ySplit="3" topLeftCell="A4" activePane="bottomLeft" state="frozen"/>
      <selection pane="bottomLeft"/>
    </sheetView>
  </sheetViews>
  <sheetFormatPr defaultRowHeight="14.5" x14ac:dyDescent="0.35"/>
  <cols>
    <col min="1" max="1" width="14" customWidth="1"/>
    <col min="2" max="8" width="18" customWidth="1"/>
  </cols>
  <sheetData>
    <row r="1" spans="1:8" ht="30" customHeight="1" x14ac:dyDescent="0.35">
      <c r="A1" s="85" t="s">
        <v>212</v>
      </c>
      <c r="B1" s="76"/>
      <c r="C1" s="76"/>
      <c r="D1" s="76"/>
      <c r="E1" s="76"/>
      <c r="F1" s="76"/>
      <c r="G1" s="76"/>
      <c r="H1" s="77"/>
    </row>
    <row r="2" spans="1:8" ht="30" customHeight="1" x14ac:dyDescent="0.35">
      <c r="A2" s="91" t="s">
        <v>213</v>
      </c>
      <c r="B2" s="76"/>
      <c r="C2" s="76"/>
      <c r="D2" s="76"/>
      <c r="E2" s="76"/>
      <c r="F2" s="76"/>
      <c r="G2" s="76"/>
      <c r="H2" s="77"/>
    </row>
    <row r="3" spans="1:8" ht="26" customHeight="1" x14ac:dyDescent="0.35">
      <c r="A3" s="36" t="s">
        <v>195</v>
      </c>
      <c r="B3" s="36" t="s">
        <v>214</v>
      </c>
      <c r="C3" s="36" t="s">
        <v>215</v>
      </c>
      <c r="D3" s="36" t="s">
        <v>216</v>
      </c>
      <c r="E3" s="36" t="s">
        <v>217</v>
      </c>
      <c r="F3" s="36" t="s">
        <v>218</v>
      </c>
      <c r="G3" s="36" t="s">
        <v>219</v>
      </c>
      <c r="H3" s="52" t="s">
        <v>220</v>
      </c>
    </row>
    <row r="4" spans="1:8" ht="22" customHeight="1" x14ac:dyDescent="0.35">
      <c r="A4" s="39"/>
      <c r="B4" s="41"/>
      <c r="C4" s="41"/>
      <c r="D4" s="41"/>
      <c r="E4" s="41"/>
      <c r="F4" s="41"/>
      <c r="G4" s="41"/>
      <c r="H4" s="53">
        <f t="shared" ref="H4:H13" si="0">SUM(B4:G4)</f>
        <v>0</v>
      </c>
    </row>
    <row r="5" spans="1:8" ht="22" customHeight="1" x14ac:dyDescent="0.35">
      <c r="A5" s="39"/>
      <c r="B5" s="54"/>
      <c r="C5" s="54"/>
      <c r="D5" s="54"/>
      <c r="E5" s="54"/>
      <c r="F5" s="54"/>
      <c r="G5" s="54"/>
      <c r="H5" s="53">
        <f t="shared" si="0"/>
        <v>0</v>
      </c>
    </row>
    <row r="6" spans="1:8" ht="22" customHeight="1" x14ac:dyDescent="0.35">
      <c r="A6" s="39"/>
      <c r="B6" s="41"/>
      <c r="C6" s="41"/>
      <c r="D6" s="41"/>
      <c r="E6" s="41"/>
      <c r="F6" s="41"/>
      <c r="G6" s="41"/>
      <c r="H6" s="53">
        <f t="shared" si="0"/>
        <v>0</v>
      </c>
    </row>
    <row r="7" spans="1:8" ht="22" customHeight="1" x14ac:dyDescent="0.35">
      <c r="A7" s="39"/>
      <c r="B7" s="54"/>
      <c r="C7" s="54"/>
      <c r="D7" s="54"/>
      <c r="E7" s="54"/>
      <c r="F7" s="54"/>
      <c r="G7" s="54"/>
      <c r="H7" s="53">
        <f t="shared" si="0"/>
        <v>0</v>
      </c>
    </row>
    <row r="8" spans="1:8" ht="22" customHeight="1" x14ac:dyDescent="0.35">
      <c r="A8" s="39"/>
      <c r="B8" s="41"/>
      <c r="C8" s="41"/>
      <c r="D8" s="41"/>
      <c r="E8" s="41"/>
      <c r="F8" s="41"/>
      <c r="G8" s="41"/>
      <c r="H8" s="53">
        <f t="shared" si="0"/>
        <v>0</v>
      </c>
    </row>
    <row r="9" spans="1:8" ht="22" customHeight="1" x14ac:dyDescent="0.35">
      <c r="A9" s="39"/>
      <c r="B9" s="54"/>
      <c r="C9" s="54"/>
      <c r="D9" s="54"/>
      <c r="E9" s="54"/>
      <c r="F9" s="54"/>
      <c r="G9" s="54"/>
      <c r="H9" s="53">
        <f t="shared" si="0"/>
        <v>0</v>
      </c>
    </row>
    <row r="10" spans="1:8" ht="22" customHeight="1" x14ac:dyDescent="0.35">
      <c r="A10" s="39"/>
      <c r="B10" s="41"/>
      <c r="C10" s="41"/>
      <c r="D10" s="41"/>
      <c r="E10" s="41"/>
      <c r="F10" s="41"/>
      <c r="G10" s="41"/>
      <c r="H10" s="53">
        <f t="shared" si="0"/>
        <v>0</v>
      </c>
    </row>
    <row r="11" spans="1:8" ht="22" customHeight="1" x14ac:dyDescent="0.35">
      <c r="A11" s="39"/>
      <c r="B11" s="54"/>
      <c r="C11" s="54"/>
      <c r="D11" s="54"/>
      <c r="E11" s="54"/>
      <c r="F11" s="54"/>
      <c r="G11" s="54"/>
      <c r="H11" s="53">
        <f t="shared" si="0"/>
        <v>0</v>
      </c>
    </row>
    <row r="12" spans="1:8" ht="22" customHeight="1" x14ac:dyDescent="0.35">
      <c r="A12" s="39"/>
      <c r="B12" s="41"/>
      <c r="C12" s="41"/>
      <c r="D12" s="41"/>
      <c r="E12" s="41"/>
      <c r="F12" s="41"/>
      <c r="G12" s="41"/>
      <c r="H12" s="53">
        <f t="shared" si="0"/>
        <v>0</v>
      </c>
    </row>
    <row r="13" spans="1:8" ht="22" customHeight="1" x14ac:dyDescent="0.35">
      <c r="A13" s="39"/>
      <c r="B13" s="54"/>
      <c r="C13" s="54"/>
      <c r="D13" s="54"/>
      <c r="E13" s="54"/>
      <c r="F13" s="54"/>
      <c r="G13" s="54"/>
      <c r="H13" s="53">
        <f t="shared" si="0"/>
        <v>0</v>
      </c>
    </row>
  </sheetData>
  <autoFilter ref="A3:H13" xr:uid="{00000000-0009-0000-0000-000005000000}"/>
  <mergeCells count="2">
    <mergeCell ref="A2:H2"/>
    <mergeCell ref="A1:H1"/>
  </mergeCell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205"/>
  <sheetViews>
    <sheetView showGridLines="0" workbookViewId="0">
      <pane ySplit="5" topLeftCell="A6" activePane="bottomLeft" state="frozen"/>
      <selection pane="bottomLeft"/>
    </sheetView>
  </sheetViews>
  <sheetFormatPr defaultRowHeight="14.5" x14ac:dyDescent="0.35"/>
  <cols>
    <col min="1" max="1" width="13" customWidth="1"/>
    <col min="2" max="2" width="14" customWidth="1"/>
    <col min="3" max="3" width="16" customWidth="1"/>
    <col min="4" max="4" width="18" customWidth="1"/>
    <col min="5" max="5" width="28" customWidth="1"/>
    <col min="6" max="6" width="14" customWidth="1"/>
    <col min="7" max="7" width="12" customWidth="1"/>
    <col min="8" max="8" width="15" customWidth="1"/>
    <col min="9" max="9" width="16" customWidth="1"/>
  </cols>
  <sheetData>
    <row r="1" spans="1:9" ht="30" customHeight="1" x14ac:dyDescent="0.35">
      <c r="A1" s="108" t="s">
        <v>221</v>
      </c>
      <c r="B1" s="77"/>
      <c r="C1" s="55"/>
      <c r="D1" s="109" t="s">
        <v>222</v>
      </c>
      <c r="E1" s="76"/>
      <c r="F1" s="76"/>
      <c r="G1" s="76"/>
      <c r="H1" s="76"/>
      <c r="I1" s="77"/>
    </row>
    <row r="2" spans="1:9" ht="20" customHeight="1" x14ac:dyDescent="0.35">
      <c r="A2" s="107" t="str">
        <f>IF(C1="","All entries shown",COUNTIF(D6:D205,"*"&amp;C1&amp;"*")+COUNTIF(E6:E205,"*"&amp;C1&amp;"*")+COUNTIF(B6:B205,"*"&amp;C1&amp;"*")&amp;" matching rows highlighted")</f>
        <v>All entries shown</v>
      </c>
      <c r="B2" s="76"/>
      <c r="C2" s="76"/>
      <c r="D2" s="76"/>
      <c r="E2" s="76"/>
      <c r="F2" s="76"/>
      <c r="G2" s="76"/>
      <c r="H2" s="76"/>
      <c r="I2" s="77"/>
    </row>
    <row r="3" spans="1:9" ht="30" customHeight="1" x14ac:dyDescent="0.35">
      <c r="A3" s="85" t="s">
        <v>223</v>
      </c>
      <c r="B3" s="76"/>
      <c r="C3" s="76"/>
      <c r="D3" s="76"/>
      <c r="E3" s="76"/>
      <c r="F3" s="76"/>
      <c r="G3" s="76"/>
      <c r="H3" s="76"/>
      <c r="I3" s="77"/>
    </row>
    <row r="4" spans="1:9" ht="26" customHeight="1" x14ac:dyDescent="0.35">
      <c r="A4" s="91" t="s">
        <v>224</v>
      </c>
      <c r="B4" s="76"/>
      <c r="C4" s="76"/>
      <c r="D4" s="76"/>
      <c r="E4" s="76"/>
      <c r="F4" s="76"/>
      <c r="G4" s="76"/>
      <c r="H4" s="76"/>
      <c r="I4" s="77"/>
    </row>
    <row r="5" spans="1:9" ht="26" customHeight="1" x14ac:dyDescent="0.35">
      <c r="A5" s="36" t="s">
        <v>195</v>
      </c>
      <c r="B5" s="36" t="s">
        <v>225</v>
      </c>
      <c r="C5" s="36" t="s">
        <v>226</v>
      </c>
      <c r="D5" s="36" t="s">
        <v>227</v>
      </c>
      <c r="E5" s="36" t="s">
        <v>228</v>
      </c>
      <c r="F5" s="36" t="s">
        <v>229</v>
      </c>
      <c r="G5" s="36" t="s">
        <v>230</v>
      </c>
      <c r="H5" s="36" t="s">
        <v>231</v>
      </c>
      <c r="I5" s="56" t="s">
        <v>232</v>
      </c>
    </row>
    <row r="6" spans="1:9" ht="20" customHeight="1" x14ac:dyDescent="0.35">
      <c r="A6" s="39"/>
      <c r="B6" s="57"/>
      <c r="C6" s="57"/>
      <c r="D6" s="57"/>
      <c r="E6" s="57"/>
      <c r="F6" s="58"/>
      <c r="G6" s="58"/>
      <c r="H6" s="59" t="str">
        <f t="shared" ref="H6:H37" si="0">IF(F6+G6=0,"",F6+G6)</f>
        <v/>
      </c>
      <c r="I6" s="60" t="str">
        <f>IF(H6="","",H6)</f>
        <v/>
      </c>
    </row>
    <row r="7" spans="1:9" ht="20" customHeight="1" x14ac:dyDescent="0.35">
      <c r="A7" s="39"/>
      <c r="B7" s="61"/>
      <c r="C7" s="61"/>
      <c r="D7" s="61"/>
      <c r="E7" s="61"/>
      <c r="F7" s="58"/>
      <c r="G7" s="58"/>
      <c r="H7" s="59" t="str">
        <f t="shared" si="0"/>
        <v/>
      </c>
      <c r="I7" s="62" t="str">
        <f t="shared" ref="I7:I38" si="1">IF(H7="","",IF(I6="",H7,I6+H7))</f>
        <v/>
      </c>
    </row>
    <row r="8" spans="1:9" ht="20" customHeight="1" x14ac:dyDescent="0.35">
      <c r="A8" s="39"/>
      <c r="B8" s="57"/>
      <c r="C8" s="57"/>
      <c r="D8" s="57"/>
      <c r="E8" s="57"/>
      <c r="F8" s="58"/>
      <c r="G8" s="58"/>
      <c r="H8" s="59" t="str">
        <f t="shared" si="0"/>
        <v/>
      </c>
      <c r="I8" s="60" t="str">
        <f t="shared" si="1"/>
        <v/>
      </c>
    </row>
    <row r="9" spans="1:9" ht="20" customHeight="1" x14ac:dyDescent="0.35">
      <c r="A9" s="39"/>
      <c r="B9" s="61"/>
      <c r="C9" s="61"/>
      <c r="D9" s="61"/>
      <c r="E9" s="61"/>
      <c r="F9" s="58"/>
      <c r="G9" s="58"/>
      <c r="H9" s="59" t="str">
        <f t="shared" si="0"/>
        <v/>
      </c>
      <c r="I9" s="62" t="str">
        <f t="shared" si="1"/>
        <v/>
      </c>
    </row>
    <row r="10" spans="1:9" ht="20" customHeight="1" x14ac:dyDescent="0.35">
      <c r="A10" s="39"/>
      <c r="B10" s="57"/>
      <c r="C10" s="57"/>
      <c r="D10" s="57"/>
      <c r="E10" s="57"/>
      <c r="F10" s="58"/>
      <c r="G10" s="58"/>
      <c r="H10" s="59" t="str">
        <f t="shared" si="0"/>
        <v/>
      </c>
      <c r="I10" s="60" t="str">
        <f t="shared" si="1"/>
        <v/>
      </c>
    </row>
    <row r="11" spans="1:9" ht="20" customHeight="1" x14ac:dyDescent="0.35">
      <c r="A11" s="39"/>
      <c r="B11" s="61"/>
      <c r="C11" s="61"/>
      <c r="D11" s="61"/>
      <c r="E11" s="61"/>
      <c r="F11" s="58"/>
      <c r="G11" s="58"/>
      <c r="H11" s="59" t="str">
        <f t="shared" si="0"/>
        <v/>
      </c>
      <c r="I11" s="62" t="str">
        <f t="shared" si="1"/>
        <v/>
      </c>
    </row>
    <row r="12" spans="1:9" ht="20" customHeight="1" x14ac:dyDescent="0.35">
      <c r="A12" s="39"/>
      <c r="B12" s="57"/>
      <c r="C12" s="57"/>
      <c r="D12" s="57"/>
      <c r="E12" s="57"/>
      <c r="F12" s="58"/>
      <c r="G12" s="58"/>
      <c r="H12" s="59" t="str">
        <f t="shared" si="0"/>
        <v/>
      </c>
      <c r="I12" s="60" t="str">
        <f t="shared" si="1"/>
        <v/>
      </c>
    </row>
    <row r="13" spans="1:9" ht="20" customHeight="1" x14ac:dyDescent="0.35">
      <c r="A13" s="39"/>
      <c r="B13" s="61"/>
      <c r="C13" s="61"/>
      <c r="D13" s="61"/>
      <c r="E13" s="61"/>
      <c r="F13" s="58"/>
      <c r="G13" s="58"/>
      <c r="H13" s="59" t="str">
        <f t="shared" si="0"/>
        <v/>
      </c>
      <c r="I13" s="62" t="str">
        <f t="shared" si="1"/>
        <v/>
      </c>
    </row>
    <row r="14" spans="1:9" ht="20" customHeight="1" x14ac:dyDescent="0.35">
      <c r="A14" s="39"/>
      <c r="B14" s="57"/>
      <c r="C14" s="57"/>
      <c r="D14" s="57"/>
      <c r="E14" s="57"/>
      <c r="F14" s="58"/>
      <c r="G14" s="58"/>
      <c r="H14" s="59" t="str">
        <f t="shared" si="0"/>
        <v/>
      </c>
      <c r="I14" s="60" t="str">
        <f t="shared" si="1"/>
        <v/>
      </c>
    </row>
    <row r="15" spans="1:9" ht="20" customHeight="1" x14ac:dyDescent="0.35">
      <c r="A15" s="39"/>
      <c r="B15" s="61"/>
      <c r="C15" s="61"/>
      <c r="D15" s="61"/>
      <c r="E15" s="61"/>
      <c r="F15" s="58"/>
      <c r="G15" s="58"/>
      <c r="H15" s="59" t="str">
        <f t="shared" si="0"/>
        <v/>
      </c>
      <c r="I15" s="62" t="str">
        <f t="shared" si="1"/>
        <v/>
      </c>
    </row>
    <row r="16" spans="1:9" ht="20" customHeight="1" x14ac:dyDescent="0.35">
      <c r="A16" s="39"/>
      <c r="B16" s="57"/>
      <c r="C16" s="57"/>
      <c r="D16" s="57"/>
      <c r="E16" s="57"/>
      <c r="F16" s="58"/>
      <c r="G16" s="58"/>
      <c r="H16" s="59" t="str">
        <f t="shared" si="0"/>
        <v/>
      </c>
      <c r="I16" s="60" t="str">
        <f t="shared" si="1"/>
        <v/>
      </c>
    </row>
    <row r="17" spans="1:9" ht="20" customHeight="1" x14ac:dyDescent="0.35">
      <c r="A17" s="39"/>
      <c r="B17" s="61"/>
      <c r="C17" s="61"/>
      <c r="D17" s="61"/>
      <c r="E17" s="61"/>
      <c r="F17" s="58"/>
      <c r="G17" s="58"/>
      <c r="H17" s="59" t="str">
        <f t="shared" si="0"/>
        <v/>
      </c>
      <c r="I17" s="62" t="str">
        <f t="shared" si="1"/>
        <v/>
      </c>
    </row>
    <row r="18" spans="1:9" ht="20" customHeight="1" x14ac:dyDescent="0.35">
      <c r="A18" s="39"/>
      <c r="B18" s="57"/>
      <c r="C18" s="57"/>
      <c r="D18" s="57"/>
      <c r="E18" s="57"/>
      <c r="F18" s="58"/>
      <c r="G18" s="58"/>
      <c r="H18" s="59" t="str">
        <f t="shared" si="0"/>
        <v/>
      </c>
      <c r="I18" s="60" t="str">
        <f t="shared" si="1"/>
        <v/>
      </c>
    </row>
    <row r="19" spans="1:9" ht="20" customHeight="1" x14ac:dyDescent="0.35">
      <c r="A19" s="39"/>
      <c r="B19" s="61"/>
      <c r="C19" s="61"/>
      <c r="D19" s="61"/>
      <c r="E19" s="61"/>
      <c r="F19" s="58"/>
      <c r="G19" s="58"/>
      <c r="H19" s="59" t="str">
        <f t="shared" si="0"/>
        <v/>
      </c>
      <c r="I19" s="62" t="str">
        <f t="shared" si="1"/>
        <v/>
      </c>
    </row>
    <row r="20" spans="1:9" ht="20" customHeight="1" x14ac:dyDescent="0.35">
      <c r="A20" s="39"/>
      <c r="B20" s="57"/>
      <c r="C20" s="57"/>
      <c r="D20" s="57"/>
      <c r="E20" s="57"/>
      <c r="F20" s="58"/>
      <c r="G20" s="58"/>
      <c r="H20" s="59" t="str">
        <f t="shared" si="0"/>
        <v/>
      </c>
      <c r="I20" s="60" t="str">
        <f t="shared" si="1"/>
        <v/>
      </c>
    </row>
    <row r="21" spans="1:9" ht="20" customHeight="1" x14ac:dyDescent="0.35">
      <c r="A21" s="39"/>
      <c r="B21" s="61"/>
      <c r="C21" s="61"/>
      <c r="D21" s="61"/>
      <c r="E21" s="61"/>
      <c r="F21" s="58"/>
      <c r="G21" s="58"/>
      <c r="H21" s="59" t="str">
        <f t="shared" si="0"/>
        <v/>
      </c>
      <c r="I21" s="62" t="str">
        <f t="shared" si="1"/>
        <v/>
      </c>
    </row>
    <row r="22" spans="1:9" ht="20" customHeight="1" x14ac:dyDescent="0.35">
      <c r="A22" s="39"/>
      <c r="B22" s="57"/>
      <c r="C22" s="57"/>
      <c r="D22" s="57"/>
      <c r="E22" s="57"/>
      <c r="F22" s="58"/>
      <c r="G22" s="58"/>
      <c r="H22" s="59" t="str">
        <f t="shared" si="0"/>
        <v/>
      </c>
      <c r="I22" s="60" t="str">
        <f t="shared" si="1"/>
        <v/>
      </c>
    </row>
    <row r="23" spans="1:9" ht="20" customHeight="1" x14ac:dyDescent="0.35">
      <c r="A23" s="39"/>
      <c r="B23" s="61"/>
      <c r="C23" s="61"/>
      <c r="D23" s="61"/>
      <c r="E23" s="61"/>
      <c r="F23" s="58"/>
      <c r="G23" s="58"/>
      <c r="H23" s="59" t="str">
        <f t="shared" si="0"/>
        <v/>
      </c>
      <c r="I23" s="62" t="str">
        <f t="shared" si="1"/>
        <v/>
      </c>
    </row>
    <row r="24" spans="1:9" ht="20" customHeight="1" x14ac:dyDescent="0.35">
      <c r="A24" s="39"/>
      <c r="B24" s="57"/>
      <c r="C24" s="57"/>
      <c r="D24" s="57"/>
      <c r="E24" s="57"/>
      <c r="F24" s="58"/>
      <c r="G24" s="58"/>
      <c r="H24" s="59" t="str">
        <f t="shared" si="0"/>
        <v/>
      </c>
      <c r="I24" s="60" t="str">
        <f t="shared" si="1"/>
        <v/>
      </c>
    </row>
    <row r="25" spans="1:9" ht="20" customHeight="1" x14ac:dyDescent="0.35">
      <c r="A25" s="39"/>
      <c r="B25" s="61"/>
      <c r="C25" s="61"/>
      <c r="D25" s="61"/>
      <c r="E25" s="61"/>
      <c r="F25" s="58"/>
      <c r="G25" s="58"/>
      <c r="H25" s="59" t="str">
        <f t="shared" si="0"/>
        <v/>
      </c>
      <c r="I25" s="62" t="str">
        <f t="shared" si="1"/>
        <v/>
      </c>
    </row>
    <row r="26" spans="1:9" ht="20" customHeight="1" x14ac:dyDescent="0.35">
      <c r="A26" s="39"/>
      <c r="B26" s="57"/>
      <c r="C26" s="57"/>
      <c r="D26" s="57"/>
      <c r="E26" s="57"/>
      <c r="F26" s="58"/>
      <c r="G26" s="58"/>
      <c r="H26" s="59" t="str">
        <f t="shared" si="0"/>
        <v/>
      </c>
      <c r="I26" s="60" t="str">
        <f t="shared" si="1"/>
        <v/>
      </c>
    </row>
    <row r="27" spans="1:9" ht="20" customHeight="1" x14ac:dyDescent="0.35">
      <c r="A27" s="39"/>
      <c r="B27" s="61"/>
      <c r="C27" s="61"/>
      <c r="D27" s="61"/>
      <c r="E27" s="61"/>
      <c r="F27" s="58"/>
      <c r="G27" s="58"/>
      <c r="H27" s="59" t="str">
        <f t="shared" si="0"/>
        <v/>
      </c>
      <c r="I27" s="62" t="str">
        <f t="shared" si="1"/>
        <v/>
      </c>
    </row>
    <row r="28" spans="1:9" ht="20" customHeight="1" x14ac:dyDescent="0.35">
      <c r="A28" s="39"/>
      <c r="B28" s="57"/>
      <c r="C28" s="57"/>
      <c r="D28" s="57"/>
      <c r="E28" s="57"/>
      <c r="F28" s="58"/>
      <c r="G28" s="58"/>
      <c r="H28" s="59" t="str">
        <f t="shared" si="0"/>
        <v/>
      </c>
      <c r="I28" s="60" t="str">
        <f t="shared" si="1"/>
        <v/>
      </c>
    </row>
    <row r="29" spans="1:9" ht="20" customHeight="1" x14ac:dyDescent="0.35">
      <c r="A29" s="39"/>
      <c r="B29" s="61"/>
      <c r="C29" s="61"/>
      <c r="D29" s="61"/>
      <c r="E29" s="61"/>
      <c r="F29" s="58"/>
      <c r="G29" s="58"/>
      <c r="H29" s="59" t="str">
        <f t="shared" si="0"/>
        <v/>
      </c>
      <c r="I29" s="62" t="str">
        <f t="shared" si="1"/>
        <v/>
      </c>
    </row>
    <row r="30" spans="1:9" ht="20" customHeight="1" x14ac:dyDescent="0.35">
      <c r="A30" s="39"/>
      <c r="B30" s="57"/>
      <c r="C30" s="57"/>
      <c r="D30" s="57"/>
      <c r="E30" s="57"/>
      <c r="F30" s="58"/>
      <c r="G30" s="58"/>
      <c r="H30" s="59" t="str">
        <f t="shared" si="0"/>
        <v/>
      </c>
      <c r="I30" s="60" t="str">
        <f t="shared" si="1"/>
        <v/>
      </c>
    </row>
    <row r="31" spans="1:9" ht="20" customHeight="1" x14ac:dyDescent="0.35">
      <c r="A31" s="39"/>
      <c r="B31" s="61"/>
      <c r="C31" s="61"/>
      <c r="D31" s="61"/>
      <c r="E31" s="61"/>
      <c r="F31" s="58"/>
      <c r="G31" s="58"/>
      <c r="H31" s="59" t="str">
        <f t="shared" si="0"/>
        <v/>
      </c>
      <c r="I31" s="62" t="str">
        <f t="shared" si="1"/>
        <v/>
      </c>
    </row>
    <row r="32" spans="1:9" ht="20" customHeight="1" x14ac:dyDescent="0.35">
      <c r="A32" s="39"/>
      <c r="B32" s="57"/>
      <c r="C32" s="57"/>
      <c r="D32" s="57"/>
      <c r="E32" s="57"/>
      <c r="F32" s="58"/>
      <c r="G32" s="58"/>
      <c r="H32" s="59" t="str">
        <f t="shared" si="0"/>
        <v/>
      </c>
      <c r="I32" s="60" t="str">
        <f t="shared" si="1"/>
        <v/>
      </c>
    </row>
    <row r="33" spans="1:9" ht="20" customHeight="1" x14ac:dyDescent="0.35">
      <c r="A33" s="39"/>
      <c r="B33" s="61"/>
      <c r="C33" s="61"/>
      <c r="D33" s="61"/>
      <c r="E33" s="61"/>
      <c r="F33" s="58"/>
      <c r="G33" s="58"/>
      <c r="H33" s="59" t="str">
        <f t="shared" si="0"/>
        <v/>
      </c>
      <c r="I33" s="62" t="str">
        <f t="shared" si="1"/>
        <v/>
      </c>
    </row>
    <row r="34" spans="1:9" ht="20" customHeight="1" x14ac:dyDescent="0.35">
      <c r="A34" s="39"/>
      <c r="B34" s="57"/>
      <c r="C34" s="57"/>
      <c r="D34" s="57"/>
      <c r="E34" s="57"/>
      <c r="F34" s="58"/>
      <c r="G34" s="58"/>
      <c r="H34" s="59" t="str">
        <f t="shared" si="0"/>
        <v/>
      </c>
      <c r="I34" s="60" t="str">
        <f t="shared" si="1"/>
        <v/>
      </c>
    </row>
    <row r="35" spans="1:9" ht="20" customHeight="1" x14ac:dyDescent="0.35">
      <c r="A35" s="39"/>
      <c r="B35" s="61"/>
      <c r="C35" s="61"/>
      <c r="D35" s="61"/>
      <c r="E35" s="61"/>
      <c r="F35" s="58"/>
      <c r="G35" s="58"/>
      <c r="H35" s="59" t="str">
        <f t="shared" si="0"/>
        <v/>
      </c>
      <c r="I35" s="62" t="str">
        <f t="shared" si="1"/>
        <v/>
      </c>
    </row>
    <row r="36" spans="1:9" ht="20" customHeight="1" x14ac:dyDescent="0.35">
      <c r="A36" s="39"/>
      <c r="B36" s="57"/>
      <c r="C36" s="57"/>
      <c r="D36" s="57"/>
      <c r="E36" s="57"/>
      <c r="F36" s="58"/>
      <c r="G36" s="58"/>
      <c r="H36" s="59" t="str">
        <f t="shared" si="0"/>
        <v/>
      </c>
      <c r="I36" s="60" t="str">
        <f t="shared" si="1"/>
        <v/>
      </c>
    </row>
    <row r="37" spans="1:9" ht="20" customHeight="1" x14ac:dyDescent="0.35">
      <c r="A37" s="39"/>
      <c r="B37" s="61"/>
      <c r="C37" s="61"/>
      <c r="D37" s="61"/>
      <c r="E37" s="61"/>
      <c r="F37" s="58"/>
      <c r="G37" s="58"/>
      <c r="H37" s="59" t="str">
        <f t="shared" si="0"/>
        <v/>
      </c>
      <c r="I37" s="62" t="str">
        <f t="shared" si="1"/>
        <v/>
      </c>
    </row>
    <row r="38" spans="1:9" ht="20" customHeight="1" x14ac:dyDescent="0.35">
      <c r="A38" s="39"/>
      <c r="B38" s="57"/>
      <c r="C38" s="57"/>
      <c r="D38" s="57"/>
      <c r="E38" s="57"/>
      <c r="F38" s="58"/>
      <c r="G38" s="58"/>
      <c r="H38" s="59" t="str">
        <f t="shared" ref="H38:H69" si="2">IF(F38+G38=0,"",F38+G38)</f>
        <v/>
      </c>
      <c r="I38" s="60" t="str">
        <f t="shared" si="1"/>
        <v/>
      </c>
    </row>
    <row r="39" spans="1:9" ht="20" customHeight="1" x14ac:dyDescent="0.35">
      <c r="A39" s="39"/>
      <c r="B39" s="61"/>
      <c r="C39" s="61"/>
      <c r="D39" s="61"/>
      <c r="E39" s="61"/>
      <c r="F39" s="58"/>
      <c r="G39" s="58"/>
      <c r="H39" s="59" t="str">
        <f t="shared" si="2"/>
        <v/>
      </c>
      <c r="I39" s="62" t="str">
        <f t="shared" ref="I39:I70" si="3">IF(H39="","",IF(I38="",H39,I38+H39))</f>
        <v/>
      </c>
    </row>
    <row r="40" spans="1:9" ht="20" customHeight="1" x14ac:dyDescent="0.35">
      <c r="A40" s="39"/>
      <c r="B40" s="57"/>
      <c r="C40" s="57"/>
      <c r="D40" s="57"/>
      <c r="E40" s="57"/>
      <c r="F40" s="58"/>
      <c r="G40" s="58"/>
      <c r="H40" s="59" t="str">
        <f t="shared" si="2"/>
        <v/>
      </c>
      <c r="I40" s="60" t="str">
        <f t="shared" si="3"/>
        <v/>
      </c>
    </row>
    <row r="41" spans="1:9" ht="20" customHeight="1" x14ac:dyDescent="0.35">
      <c r="A41" s="39"/>
      <c r="B41" s="61"/>
      <c r="C41" s="61"/>
      <c r="D41" s="61"/>
      <c r="E41" s="61"/>
      <c r="F41" s="58"/>
      <c r="G41" s="58"/>
      <c r="H41" s="59" t="str">
        <f t="shared" si="2"/>
        <v/>
      </c>
      <c r="I41" s="62" t="str">
        <f t="shared" si="3"/>
        <v/>
      </c>
    </row>
    <row r="42" spans="1:9" ht="20" customHeight="1" x14ac:dyDescent="0.35">
      <c r="A42" s="39"/>
      <c r="B42" s="57"/>
      <c r="C42" s="57"/>
      <c r="D42" s="57"/>
      <c r="E42" s="57"/>
      <c r="F42" s="58"/>
      <c r="G42" s="58"/>
      <c r="H42" s="59" t="str">
        <f t="shared" si="2"/>
        <v/>
      </c>
      <c r="I42" s="60" t="str">
        <f t="shared" si="3"/>
        <v/>
      </c>
    </row>
    <row r="43" spans="1:9" ht="20" customHeight="1" x14ac:dyDescent="0.35">
      <c r="A43" s="39"/>
      <c r="B43" s="61"/>
      <c r="C43" s="61"/>
      <c r="D43" s="61"/>
      <c r="E43" s="61"/>
      <c r="F43" s="58"/>
      <c r="G43" s="58"/>
      <c r="H43" s="59" t="str">
        <f t="shared" si="2"/>
        <v/>
      </c>
      <c r="I43" s="62" t="str">
        <f t="shared" si="3"/>
        <v/>
      </c>
    </row>
    <row r="44" spans="1:9" ht="20" customHeight="1" x14ac:dyDescent="0.35">
      <c r="A44" s="39"/>
      <c r="B44" s="57"/>
      <c r="C44" s="57"/>
      <c r="D44" s="57"/>
      <c r="E44" s="57"/>
      <c r="F44" s="58"/>
      <c r="G44" s="58"/>
      <c r="H44" s="59" t="str">
        <f t="shared" si="2"/>
        <v/>
      </c>
      <c r="I44" s="60" t="str">
        <f t="shared" si="3"/>
        <v/>
      </c>
    </row>
    <row r="45" spans="1:9" ht="20" customHeight="1" x14ac:dyDescent="0.35">
      <c r="A45" s="39"/>
      <c r="B45" s="61"/>
      <c r="C45" s="61"/>
      <c r="D45" s="61"/>
      <c r="E45" s="61"/>
      <c r="F45" s="58"/>
      <c r="G45" s="58"/>
      <c r="H45" s="59" t="str">
        <f t="shared" si="2"/>
        <v/>
      </c>
      <c r="I45" s="62" t="str">
        <f t="shared" si="3"/>
        <v/>
      </c>
    </row>
    <row r="46" spans="1:9" ht="20" customHeight="1" x14ac:dyDescent="0.35">
      <c r="A46" s="39"/>
      <c r="B46" s="57"/>
      <c r="C46" s="57"/>
      <c r="D46" s="57"/>
      <c r="E46" s="57"/>
      <c r="F46" s="58"/>
      <c r="G46" s="58"/>
      <c r="H46" s="59" t="str">
        <f t="shared" si="2"/>
        <v/>
      </c>
      <c r="I46" s="60" t="str">
        <f t="shared" si="3"/>
        <v/>
      </c>
    </row>
    <row r="47" spans="1:9" ht="20" customHeight="1" x14ac:dyDescent="0.35">
      <c r="A47" s="39"/>
      <c r="B47" s="61"/>
      <c r="C47" s="61"/>
      <c r="D47" s="61"/>
      <c r="E47" s="61"/>
      <c r="F47" s="58"/>
      <c r="G47" s="58"/>
      <c r="H47" s="59" t="str">
        <f t="shared" si="2"/>
        <v/>
      </c>
      <c r="I47" s="62" t="str">
        <f t="shared" si="3"/>
        <v/>
      </c>
    </row>
    <row r="48" spans="1:9" ht="20" customHeight="1" x14ac:dyDescent="0.35">
      <c r="A48" s="39"/>
      <c r="B48" s="57"/>
      <c r="C48" s="57"/>
      <c r="D48" s="57"/>
      <c r="E48" s="57"/>
      <c r="F48" s="58"/>
      <c r="G48" s="58"/>
      <c r="H48" s="59" t="str">
        <f t="shared" si="2"/>
        <v/>
      </c>
      <c r="I48" s="60" t="str">
        <f t="shared" si="3"/>
        <v/>
      </c>
    </row>
    <row r="49" spans="1:9" ht="20" customHeight="1" x14ac:dyDescent="0.35">
      <c r="A49" s="39"/>
      <c r="B49" s="61"/>
      <c r="C49" s="61"/>
      <c r="D49" s="61"/>
      <c r="E49" s="61"/>
      <c r="F49" s="58"/>
      <c r="G49" s="58"/>
      <c r="H49" s="59" t="str">
        <f t="shared" si="2"/>
        <v/>
      </c>
      <c r="I49" s="62" t="str">
        <f t="shared" si="3"/>
        <v/>
      </c>
    </row>
    <row r="50" spans="1:9" ht="20" customHeight="1" x14ac:dyDescent="0.35">
      <c r="A50" s="39"/>
      <c r="B50" s="57"/>
      <c r="C50" s="57"/>
      <c r="D50" s="57"/>
      <c r="E50" s="57"/>
      <c r="F50" s="58"/>
      <c r="G50" s="58"/>
      <c r="H50" s="59" t="str">
        <f t="shared" si="2"/>
        <v/>
      </c>
      <c r="I50" s="60" t="str">
        <f t="shared" si="3"/>
        <v/>
      </c>
    </row>
    <row r="51" spans="1:9" ht="20" customHeight="1" x14ac:dyDescent="0.35">
      <c r="A51" s="39"/>
      <c r="B51" s="61"/>
      <c r="C51" s="61"/>
      <c r="D51" s="61"/>
      <c r="E51" s="61"/>
      <c r="F51" s="58"/>
      <c r="G51" s="58"/>
      <c r="H51" s="59" t="str">
        <f t="shared" si="2"/>
        <v/>
      </c>
      <c r="I51" s="62" t="str">
        <f t="shared" si="3"/>
        <v/>
      </c>
    </row>
    <row r="52" spans="1:9" ht="20" customHeight="1" x14ac:dyDescent="0.35">
      <c r="A52" s="39"/>
      <c r="B52" s="57"/>
      <c r="C52" s="57"/>
      <c r="D52" s="57"/>
      <c r="E52" s="57"/>
      <c r="F52" s="58"/>
      <c r="G52" s="58"/>
      <c r="H52" s="59" t="str">
        <f t="shared" si="2"/>
        <v/>
      </c>
      <c r="I52" s="60" t="str">
        <f t="shared" si="3"/>
        <v/>
      </c>
    </row>
    <row r="53" spans="1:9" ht="20" customHeight="1" x14ac:dyDescent="0.35">
      <c r="A53" s="39"/>
      <c r="B53" s="61"/>
      <c r="C53" s="61"/>
      <c r="D53" s="61"/>
      <c r="E53" s="61"/>
      <c r="F53" s="58"/>
      <c r="G53" s="58"/>
      <c r="H53" s="59" t="str">
        <f t="shared" si="2"/>
        <v/>
      </c>
      <c r="I53" s="62" t="str">
        <f t="shared" si="3"/>
        <v/>
      </c>
    </row>
    <row r="54" spans="1:9" ht="20" customHeight="1" x14ac:dyDescent="0.35">
      <c r="A54" s="39"/>
      <c r="B54" s="57"/>
      <c r="C54" s="57"/>
      <c r="D54" s="57"/>
      <c r="E54" s="57"/>
      <c r="F54" s="58"/>
      <c r="G54" s="58"/>
      <c r="H54" s="59" t="str">
        <f t="shared" si="2"/>
        <v/>
      </c>
      <c r="I54" s="60" t="str">
        <f t="shared" si="3"/>
        <v/>
      </c>
    </row>
    <row r="55" spans="1:9" ht="20" customHeight="1" x14ac:dyDescent="0.35">
      <c r="A55" s="39"/>
      <c r="B55" s="61"/>
      <c r="C55" s="61"/>
      <c r="D55" s="61"/>
      <c r="E55" s="61"/>
      <c r="F55" s="58"/>
      <c r="G55" s="58"/>
      <c r="H55" s="59" t="str">
        <f t="shared" si="2"/>
        <v/>
      </c>
      <c r="I55" s="62" t="str">
        <f t="shared" si="3"/>
        <v/>
      </c>
    </row>
    <row r="56" spans="1:9" ht="20" customHeight="1" x14ac:dyDescent="0.35">
      <c r="A56" s="39"/>
      <c r="B56" s="57"/>
      <c r="C56" s="57"/>
      <c r="D56" s="57"/>
      <c r="E56" s="57"/>
      <c r="F56" s="58"/>
      <c r="G56" s="58"/>
      <c r="H56" s="59" t="str">
        <f t="shared" si="2"/>
        <v/>
      </c>
      <c r="I56" s="60" t="str">
        <f t="shared" si="3"/>
        <v/>
      </c>
    </row>
    <row r="57" spans="1:9" ht="20" customHeight="1" x14ac:dyDescent="0.35">
      <c r="A57" s="39"/>
      <c r="B57" s="61"/>
      <c r="C57" s="61"/>
      <c r="D57" s="61"/>
      <c r="E57" s="61"/>
      <c r="F57" s="58"/>
      <c r="G57" s="58"/>
      <c r="H57" s="59" t="str">
        <f t="shared" si="2"/>
        <v/>
      </c>
      <c r="I57" s="62" t="str">
        <f t="shared" si="3"/>
        <v/>
      </c>
    </row>
    <row r="58" spans="1:9" ht="20" customHeight="1" x14ac:dyDescent="0.35">
      <c r="A58" s="39"/>
      <c r="B58" s="57"/>
      <c r="C58" s="57"/>
      <c r="D58" s="57"/>
      <c r="E58" s="57"/>
      <c r="F58" s="58"/>
      <c r="G58" s="58"/>
      <c r="H58" s="59" t="str">
        <f t="shared" si="2"/>
        <v/>
      </c>
      <c r="I58" s="60" t="str">
        <f t="shared" si="3"/>
        <v/>
      </c>
    </row>
    <row r="59" spans="1:9" ht="20" customHeight="1" x14ac:dyDescent="0.35">
      <c r="A59" s="39"/>
      <c r="B59" s="61"/>
      <c r="C59" s="61"/>
      <c r="D59" s="61"/>
      <c r="E59" s="61"/>
      <c r="F59" s="58"/>
      <c r="G59" s="58"/>
      <c r="H59" s="59" t="str">
        <f t="shared" si="2"/>
        <v/>
      </c>
      <c r="I59" s="62" t="str">
        <f t="shared" si="3"/>
        <v/>
      </c>
    </row>
    <row r="60" spans="1:9" ht="20" customHeight="1" x14ac:dyDescent="0.35">
      <c r="A60" s="39"/>
      <c r="B60" s="57"/>
      <c r="C60" s="57"/>
      <c r="D60" s="57"/>
      <c r="E60" s="57"/>
      <c r="F60" s="58"/>
      <c r="G60" s="58"/>
      <c r="H60" s="59" t="str">
        <f t="shared" si="2"/>
        <v/>
      </c>
      <c r="I60" s="60" t="str">
        <f t="shared" si="3"/>
        <v/>
      </c>
    </row>
    <row r="61" spans="1:9" ht="20" customHeight="1" x14ac:dyDescent="0.35">
      <c r="A61" s="39"/>
      <c r="B61" s="61"/>
      <c r="C61" s="61"/>
      <c r="D61" s="61"/>
      <c r="E61" s="61"/>
      <c r="F61" s="58"/>
      <c r="G61" s="58"/>
      <c r="H61" s="59" t="str">
        <f t="shared" si="2"/>
        <v/>
      </c>
      <c r="I61" s="62" t="str">
        <f t="shared" si="3"/>
        <v/>
      </c>
    </row>
    <row r="62" spans="1:9" ht="20" customHeight="1" x14ac:dyDescent="0.35">
      <c r="A62" s="39"/>
      <c r="B62" s="57"/>
      <c r="C62" s="57"/>
      <c r="D62" s="57"/>
      <c r="E62" s="57"/>
      <c r="F62" s="58"/>
      <c r="G62" s="58"/>
      <c r="H62" s="59" t="str">
        <f t="shared" si="2"/>
        <v/>
      </c>
      <c r="I62" s="60" t="str">
        <f t="shared" si="3"/>
        <v/>
      </c>
    </row>
    <row r="63" spans="1:9" ht="20" customHeight="1" x14ac:dyDescent="0.35">
      <c r="A63" s="39"/>
      <c r="B63" s="61"/>
      <c r="C63" s="61"/>
      <c r="D63" s="61"/>
      <c r="E63" s="61"/>
      <c r="F63" s="58"/>
      <c r="G63" s="58"/>
      <c r="H63" s="59" t="str">
        <f t="shared" si="2"/>
        <v/>
      </c>
      <c r="I63" s="62" t="str">
        <f t="shared" si="3"/>
        <v/>
      </c>
    </row>
    <row r="64" spans="1:9" ht="20" customHeight="1" x14ac:dyDescent="0.35">
      <c r="A64" s="39"/>
      <c r="B64" s="57"/>
      <c r="C64" s="57"/>
      <c r="D64" s="57"/>
      <c r="E64" s="57"/>
      <c r="F64" s="58"/>
      <c r="G64" s="58"/>
      <c r="H64" s="59" t="str">
        <f t="shared" si="2"/>
        <v/>
      </c>
      <c r="I64" s="60" t="str">
        <f t="shared" si="3"/>
        <v/>
      </c>
    </row>
    <row r="65" spans="1:9" ht="20" customHeight="1" x14ac:dyDescent="0.35">
      <c r="A65" s="39"/>
      <c r="B65" s="61"/>
      <c r="C65" s="61"/>
      <c r="D65" s="61"/>
      <c r="E65" s="61"/>
      <c r="F65" s="58"/>
      <c r="G65" s="58"/>
      <c r="H65" s="59" t="str">
        <f t="shared" si="2"/>
        <v/>
      </c>
      <c r="I65" s="62" t="str">
        <f t="shared" si="3"/>
        <v/>
      </c>
    </row>
    <row r="66" spans="1:9" ht="20" customHeight="1" x14ac:dyDescent="0.35">
      <c r="A66" s="39"/>
      <c r="B66" s="57"/>
      <c r="C66" s="57"/>
      <c r="D66" s="57"/>
      <c r="E66" s="57"/>
      <c r="F66" s="58"/>
      <c r="G66" s="58"/>
      <c r="H66" s="59" t="str">
        <f t="shared" si="2"/>
        <v/>
      </c>
      <c r="I66" s="60" t="str">
        <f t="shared" si="3"/>
        <v/>
      </c>
    </row>
    <row r="67" spans="1:9" ht="20" customHeight="1" x14ac:dyDescent="0.35">
      <c r="A67" s="39"/>
      <c r="B67" s="61"/>
      <c r="C67" s="61"/>
      <c r="D67" s="61"/>
      <c r="E67" s="61"/>
      <c r="F67" s="58"/>
      <c r="G67" s="58"/>
      <c r="H67" s="59" t="str">
        <f t="shared" si="2"/>
        <v/>
      </c>
      <c r="I67" s="62" t="str">
        <f t="shared" si="3"/>
        <v/>
      </c>
    </row>
    <row r="68" spans="1:9" ht="20" customHeight="1" x14ac:dyDescent="0.35">
      <c r="A68" s="39"/>
      <c r="B68" s="57"/>
      <c r="C68" s="57"/>
      <c r="D68" s="57"/>
      <c r="E68" s="57"/>
      <c r="F68" s="58"/>
      <c r="G68" s="58"/>
      <c r="H68" s="59" t="str">
        <f t="shared" si="2"/>
        <v/>
      </c>
      <c r="I68" s="60" t="str">
        <f t="shared" si="3"/>
        <v/>
      </c>
    </row>
    <row r="69" spans="1:9" ht="20" customHeight="1" x14ac:dyDescent="0.35">
      <c r="A69" s="39"/>
      <c r="B69" s="61"/>
      <c r="C69" s="61"/>
      <c r="D69" s="61"/>
      <c r="E69" s="61"/>
      <c r="F69" s="58"/>
      <c r="G69" s="58"/>
      <c r="H69" s="59" t="str">
        <f t="shared" si="2"/>
        <v/>
      </c>
      <c r="I69" s="62" t="str">
        <f t="shared" si="3"/>
        <v/>
      </c>
    </row>
    <row r="70" spans="1:9" ht="20" customHeight="1" x14ac:dyDescent="0.35">
      <c r="A70" s="39"/>
      <c r="B70" s="57"/>
      <c r="C70" s="57"/>
      <c r="D70" s="57"/>
      <c r="E70" s="57"/>
      <c r="F70" s="58"/>
      <c r="G70" s="58"/>
      <c r="H70" s="59" t="str">
        <f t="shared" ref="H70:H101" si="4">IF(F70+G70=0,"",F70+G70)</f>
        <v/>
      </c>
      <c r="I70" s="60" t="str">
        <f t="shared" si="3"/>
        <v/>
      </c>
    </row>
    <row r="71" spans="1:9" ht="20" customHeight="1" x14ac:dyDescent="0.35">
      <c r="A71" s="39"/>
      <c r="B71" s="61"/>
      <c r="C71" s="61"/>
      <c r="D71" s="61"/>
      <c r="E71" s="61"/>
      <c r="F71" s="58"/>
      <c r="G71" s="58"/>
      <c r="H71" s="59" t="str">
        <f t="shared" si="4"/>
        <v/>
      </c>
      <c r="I71" s="62" t="str">
        <f t="shared" ref="I71:I102" si="5">IF(H71="","",IF(I70="",H71,I70+H71))</f>
        <v/>
      </c>
    </row>
    <row r="72" spans="1:9" ht="20" customHeight="1" x14ac:dyDescent="0.35">
      <c r="A72" s="39"/>
      <c r="B72" s="57"/>
      <c r="C72" s="57"/>
      <c r="D72" s="57"/>
      <c r="E72" s="57"/>
      <c r="F72" s="58"/>
      <c r="G72" s="58"/>
      <c r="H72" s="59" t="str">
        <f t="shared" si="4"/>
        <v/>
      </c>
      <c r="I72" s="60" t="str">
        <f t="shared" si="5"/>
        <v/>
      </c>
    </row>
    <row r="73" spans="1:9" ht="20" customHeight="1" x14ac:dyDescent="0.35">
      <c r="A73" s="39"/>
      <c r="B73" s="61"/>
      <c r="C73" s="61"/>
      <c r="D73" s="61"/>
      <c r="E73" s="61"/>
      <c r="F73" s="58"/>
      <c r="G73" s="58"/>
      <c r="H73" s="59" t="str">
        <f t="shared" si="4"/>
        <v/>
      </c>
      <c r="I73" s="62" t="str">
        <f t="shared" si="5"/>
        <v/>
      </c>
    </row>
    <row r="74" spans="1:9" ht="20" customHeight="1" x14ac:dyDescent="0.35">
      <c r="A74" s="39"/>
      <c r="B74" s="57"/>
      <c r="C74" s="57"/>
      <c r="D74" s="57"/>
      <c r="E74" s="57"/>
      <c r="F74" s="58"/>
      <c r="G74" s="58"/>
      <c r="H74" s="59" t="str">
        <f t="shared" si="4"/>
        <v/>
      </c>
      <c r="I74" s="60" t="str">
        <f t="shared" si="5"/>
        <v/>
      </c>
    </row>
    <row r="75" spans="1:9" ht="20" customHeight="1" x14ac:dyDescent="0.35">
      <c r="A75" s="39"/>
      <c r="B75" s="61"/>
      <c r="C75" s="61"/>
      <c r="D75" s="61"/>
      <c r="E75" s="61"/>
      <c r="F75" s="58"/>
      <c r="G75" s="58"/>
      <c r="H75" s="59" t="str">
        <f t="shared" si="4"/>
        <v/>
      </c>
      <c r="I75" s="62" t="str">
        <f t="shared" si="5"/>
        <v/>
      </c>
    </row>
    <row r="76" spans="1:9" ht="20" customHeight="1" x14ac:dyDescent="0.35">
      <c r="A76" s="39"/>
      <c r="B76" s="57"/>
      <c r="C76" s="57"/>
      <c r="D76" s="57"/>
      <c r="E76" s="57"/>
      <c r="F76" s="58"/>
      <c r="G76" s="58"/>
      <c r="H76" s="59" t="str">
        <f t="shared" si="4"/>
        <v/>
      </c>
      <c r="I76" s="60" t="str">
        <f t="shared" si="5"/>
        <v/>
      </c>
    </row>
    <row r="77" spans="1:9" ht="20" customHeight="1" x14ac:dyDescent="0.35">
      <c r="A77" s="39"/>
      <c r="B77" s="61"/>
      <c r="C77" s="61"/>
      <c r="D77" s="61"/>
      <c r="E77" s="61"/>
      <c r="F77" s="58"/>
      <c r="G77" s="58"/>
      <c r="H77" s="59" t="str">
        <f t="shared" si="4"/>
        <v/>
      </c>
      <c r="I77" s="62" t="str">
        <f t="shared" si="5"/>
        <v/>
      </c>
    </row>
    <row r="78" spans="1:9" ht="20" customHeight="1" x14ac:dyDescent="0.35">
      <c r="A78" s="39"/>
      <c r="B78" s="57"/>
      <c r="C78" s="57"/>
      <c r="D78" s="57"/>
      <c r="E78" s="57"/>
      <c r="F78" s="58"/>
      <c r="G78" s="58"/>
      <c r="H78" s="59" t="str">
        <f t="shared" si="4"/>
        <v/>
      </c>
      <c r="I78" s="60" t="str">
        <f t="shared" si="5"/>
        <v/>
      </c>
    </row>
    <row r="79" spans="1:9" ht="20" customHeight="1" x14ac:dyDescent="0.35">
      <c r="A79" s="39"/>
      <c r="B79" s="61"/>
      <c r="C79" s="61"/>
      <c r="D79" s="61"/>
      <c r="E79" s="61"/>
      <c r="F79" s="58"/>
      <c r="G79" s="58"/>
      <c r="H79" s="59" t="str">
        <f t="shared" si="4"/>
        <v/>
      </c>
      <c r="I79" s="62" t="str">
        <f t="shared" si="5"/>
        <v/>
      </c>
    </row>
    <row r="80" spans="1:9" ht="20" customHeight="1" x14ac:dyDescent="0.35">
      <c r="A80" s="39"/>
      <c r="B80" s="57"/>
      <c r="C80" s="57"/>
      <c r="D80" s="57"/>
      <c r="E80" s="57"/>
      <c r="F80" s="58"/>
      <c r="G80" s="58"/>
      <c r="H80" s="59" t="str">
        <f t="shared" si="4"/>
        <v/>
      </c>
      <c r="I80" s="60" t="str">
        <f t="shared" si="5"/>
        <v/>
      </c>
    </row>
    <row r="81" spans="1:9" ht="20" customHeight="1" x14ac:dyDescent="0.35">
      <c r="A81" s="39"/>
      <c r="B81" s="61"/>
      <c r="C81" s="61"/>
      <c r="D81" s="61"/>
      <c r="E81" s="61"/>
      <c r="F81" s="58"/>
      <c r="G81" s="58"/>
      <c r="H81" s="59" t="str">
        <f t="shared" si="4"/>
        <v/>
      </c>
      <c r="I81" s="62" t="str">
        <f t="shared" si="5"/>
        <v/>
      </c>
    </row>
    <row r="82" spans="1:9" ht="20" customHeight="1" x14ac:dyDescent="0.35">
      <c r="A82" s="39"/>
      <c r="B82" s="57"/>
      <c r="C82" s="57"/>
      <c r="D82" s="57"/>
      <c r="E82" s="57"/>
      <c r="F82" s="58"/>
      <c r="G82" s="58"/>
      <c r="H82" s="59" t="str">
        <f t="shared" si="4"/>
        <v/>
      </c>
      <c r="I82" s="60" t="str">
        <f t="shared" si="5"/>
        <v/>
      </c>
    </row>
    <row r="83" spans="1:9" ht="20" customHeight="1" x14ac:dyDescent="0.35">
      <c r="A83" s="39"/>
      <c r="B83" s="61"/>
      <c r="C83" s="61"/>
      <c r="D83" s="61"/>
      <c r="E83" s="61"/>
      <c r="F83" s="58"/>
      <c r="G83" s="58"/>
      <c r="H83" s="59" t="str">
        <f t="shared" si="4"/>
        <v/>
      </c>
      <c r="I83" s="62" t="str">
        <f t="shared" si="5"/>
        <v/>
      </c>
    </row>
    <row r="84" spans="1:9" ht="20" customHeight="1" x14ac:dyDescent="0.35">
      <c r="A84" s="39"/>
      <c r="B84" s="57"/>
      <c r="C84" s="57"/>
      <c r="D84" s="57"/>
      <c r="E84" s="57"/>
      <c r="F84" s="58"/>
      <c r="G84" s="58"/>
      <c r="H84" s="59" t="str">
        <f t="shared" si="4"/>
        <v/>
      </c>
      <c r="I84" s="60" t="str">
        <f t="shared" si="5"/>
        <v/>
      </c>
    </row>
    <row r="85" spans="1:9" ht="20" customHeight="1" x14ac:dyDescent="0.35">
      <c r="A85" s="39"/>
      <c r="B85" s="61"/>
      <c r="C85" s="61"/>
      <c r="D85" s="61"/>
      <c r="E85" s="61"/>
      <c r="F85" s="58"/>
      <c r="G85" s="58"/>
      <c r="H85" s="59" t="str">
        <f t="shared" si="4"/>
        <v/>
      </c>
      <c r="I85" s="62" t="str">
        <f t="shared" si="5"/>
        <v/>
      </c>
    </row>
    <row r="86" spans="1:9" ht="20" customHeight="1" x14ac:dyDescent="0.35">
      <c r="A86" s="39"/>
      <c r="B86" s="57"/>
      <c r="C86" s="57"/>
      <c r="D86" s="57"/>
      <c r="E86" s="57"/>
      <c r="F86" s="58"/>
      <c r="G86" s="58"/>
      <c r="H86" s="59" t="str">
        <f t="shared" si="4"/>
        <v/>
      </c>
      <c r="I86" s="60" t="str">
        <f t="shared" si="5"/>
        <v/>
      </c>
    </row>
    <row r="87" spans="1:9" ht="20" customHeight="1" x14ac:dyDescent="0.35">
      <c r="A87" s="39"/>
      <c r="B87" s="61"/>
      <c r="C87" s="61"/>
      <c r="D87" s="61"/>
      <c r="E87" s="61"/>
      <c r="F87" s="58"/>
      <c r="G87" s="58"/>
      <c r="H87" s="59" t="str">
        <f t="shared" si="4"/>
        <v/>
      </c>
      <c r="I87" s="62" t="str">
        <f t="shared" si="5"/>
        <v/>
      </c>
    </row>
    <row r="88" spans="1:9" ht="20" customHeight="1" x14ac:dyDescent="0.35">
      <c r="A88" s="39"/>
      <c r="B88" s="57"/>
      <c r="C88" s="57"/>
      <c r="D88" s="57"/>
      <c r="E88" s="57"/>
      <c r="F88" s="58"/>
      <c r="G88" s="58"/>
      <c r="H88" s="59" t="str">
        <f t="shared" si="4"/>
        <v/>
      </c>
      <c r="I88" s="60" t="str">
        <f t="shared" si="5"/>
        <v/>
      </c>
    </row>
    <row r="89" spans="1:9" ht="20" customHeight="1" x14ac:dyDescent="0.35">
      <c r="A89" s="39"/>
      <c r="B89" s="61"/>
      <c r="C89" s="61"/>
      <c r="D89" s="61"/>
      <c r="E89" s="61"/>
      <c r="F89" s="58"/>
      <c r="G89" s="58"/>
      <c r="H89" s="59" t="str">
        <f t="shared" si="4"/>
        <v/>
      </c>
      <c r="I89" s="62" t="str">
        <f t="shared" si="5"/>
        <v/>
      </c>
    </row>
    <row r="90" spans="1:9" ht="20" customHeight="1" x14ac:dyDescent="0.35">
      <c r="A90" s="39"/>
      <c r="B90" s="57"/>
      <c r="C90" s="57"/>
      <c r="D90" s="57"/>
      <c r="E90" s="57"/>
      <c r="F90" s="58"/>
      <c r="G90" s="58"/>
      <c r="H90" s="59" t="str">
        <f t="shared" si="4"/>
        <v/>
      </c>
      <c r="I90" s="60" t="str">
        <f t="shared" si="5"/>
        <v/>
      </c>
    </row>
    <row r="91" spans="1:9" ht="20" customHeight="1" x14ac:dyDescent="0.35">
      <c r="A91" s="39"/>
      <c r="B91" s="61"/>
      <c r="C91" s="61"/>
      <c r="D91" s="61"/>
      <c r="E91" s="61"/>
      <c r="F91" s="58"/>
      <c r="G91" s="58"/>
      <c r="H91" s="59" t="str">
        <f t="shared" si="4"/>
        <v/>
      </c>
      <c r="I91" s="62" t="str">
        <f t="shared" si="5"/>
        <v/>
      </c>
    </row>
    <row r="92" spans="1:9" ht="20" customHeight="1" x14ac:dyDescent="0.35">
      <c r="A92" s="39"/>
      <c r="B92" s="57"/>
      <c r="C92" s="57"/>
      <c r="D92" s="57"/>
      <c r="E92" s="57"/>
      <c r="F92" s="58"/>
      <c r="G92" s="58"/>
      <c r="H92" s="59" t="str">
        <f t="shared" si="4"/>
        <v/>
      </c>
      <c r="I92" s="60" t="str">
        <f t="shared" si="5"/>
        <v/>
      </c>
    </row>
    <row r="93" spans="1:9" ht="20" customHeight="1" x14ac:dyDescent="0.35">
      <c r="A93" s="39"/>
      <c r="B93" s="61"/>
      <c r="C93" s="61"/>
      <c r="D93" s="61"/>
      <c r="E93" s="61"/>
      <c r="F93" s="58"/>
      <c r="G93" s="58"/>
      <c r="H93" s="59" t="str">
        <f t="shared" si="4"/>
        <v/>
      </c>
      <c r="I93" s="62" t="str">
        <f t="shared" si="5"/>
        <v/>
      </c>
    </row>
    <row r="94" spans="1:9" ht="20" customHeight="1" x14ac:dyDescent="0.35">
      <c r="A94" s="39"/>
      <c r="B94" s="57"/>
      <c r="C94" s="57"/>
      <c r="D94" s="57"/>
      <c r="E94" s="57"/>
      <c r="F94" s="58"/>
      <c r="G94" s="58"/>
      <c r="H94" s="59" t="str">
        <f t="shared" si="4"/>
        <v/>
      </c>
      <c r="I94" s="60" t="str">
        <f t="shared" si="5"/>
        <v/>
      </c>
    </row>
    <row r="95" spans="1:9" ht="20" customHeight="1" x14ac:dyDescent="0.35">
      <c r="A95" s="39"/>
      <c r="B95" s="61"/>
      <c r="C95" s="61"/>
      <c r="D95" s="61"/>
      <c r="E95" s="61"/>
      <c r="F95" s="58"/>
      <c r="G95" s="58"/>
      <c r="H95" s="59" t="str">
        <f t="shared" si="4"/>
        <v/>
      </c>
      <c r="I95" s="62" t="str">
        <f t="shared" si="5"/>
        <v/>
      </c>
    </row>
    <row r="96" spans="1:9" ht="20" customHeight="1" x14ac:dyDescent="0.35">
      <c r="A96" s="39"/>
      <c r="B96" s="57"/>
      <c r="C96" s="57"/>
      <c r="D96" s="57"/>
      <c r="E96" s="57"/>
      <c r="F96" s="58"/>
      <c r="G96" s="58"/>
      <c r="H96" s="59" t="str">
        <f t="shared" si="4"/>
        <v/>
      </c>
      <c r="I96" s="60" t="str">
        <f t="shared" si="5"/>
        <v/>
      </c>
    </row>
    <row r="97" spans="1:9" ht="20" customHeight="1" x14ac:dyDescent="0.35">
      <c r="A97" s="39"/>
      <c r="B97" s="61"/>
      <c r="C97" s="61"/>
      <c r="D97" s="61"/>
      <c r="E97" s="61"/>
      <c r="F97" s="58"/>
      <c r="G97" s="58"/>
      <c r="H97" s="59" t="str">
        <f t="shared" si="4"/>
        <v/>
      </c>
      <c r="I97" s="62" t="str">
        <f t="shared" si="5"/>
        <v/>
      </c>
    </row>
    <row r="98" spans="1:9" ht="20" customHeight="1" x14ac:dyDescent="0.35">
      <c r="A98" s="39"/>
      <c r="B98" s="57"/>
      <c r="C98" s="57"/>
      <c r="D98" s="57"/>
      <c r="E98" s="57"/>
      <c r="F98" s="58"/>
      <c r="G98" s="58"/>
      <c r="H98" s="59" t="str">
        <f t="shared" si="4"/>
        <v/>
      </c>
      <c r="I98" s="60" t="str">
        <f t="shared" si="5"/>
        <v/>
      </c>
    </row>
    <row r="99" spans="1:9" ht="20" customHeight="1" x14ac:dyDescent="0.35">
      <c r="A99" s="39"/>
      <c r="B99" s="61"/>
      <c r="C99" s="61"/>
      <c r="D99" s="61"/>
      <c r="E99" s="61"/>
      <c r="F99" s="58"/>
      <c r="G99" s="58"/>
      <c r="H99" s="59" t="str">
        <f t="shared" si="4"/>
        <v/>
      </c>
      <c r="I99" s="62" t="str">
        <f t="shared" si="5"/>
        <v/>
      </c>
    </row>
    <row r="100" spans="1:9" ht="20" customHeight="1" x14ac:dyDescent="0.35">
      <c r="A100" s="39"/>
      <c r="B100" s="57"/>
      <c r="C100" s="57"/>
      <c r="D100" s="57"/>
      <c r="E100" s="57"/>
      <c r="F100" s="58"/>
      <c r="G100" s="58"/>
      <c r="H100" s="59" t="str">
        <f t="shared" si="4"/>
        <v/>
      </c>
      <c r="I100" s="60" t="str">
        <f t="shared" si="5"/>
        <v/>
      </c>
    </row>
    <row r="101" spans="1:9" ht="20" customHeight="1" x14ac:dyDescent="0.35">
      <c r="A101" s="39"/>
      <c r="B101" s="61"/>
      <c r="C101" s="61"/>
      <c r="D101" s="61"/>
      <c r="E101" s="61"/>
      <c r="F101" s="58"/>
      <c r="G101" s="58"/>
      <c r="H101" s="59" t="str">
        <f t="shared" si="4"/>
        <v/>
      </c>
      <c r="I101" s="62" t="str">
        <f t="shared" si="5"/>
        <v/>
      </c>
    </row>
    <row r="102" spans="1:9" ht="20" customHeight="1" x14ac:dyDescent="0.35">
      <c r="A102" s="39"/>
      <c r="B102" s="57"/>
      <c r="C102" s="57"/>
      <c r="D102" s="57"/>
      <c r="E102" s="57"/>
      <c r="F102" s="58"/>
      <c r="G102" s="58"/>
      <c r="H102" s="59" t="str">
        <f t="shared" ref="H102:H133" si="6">IF(F102+G102=0,"",F102+G102)</f>
        <v/>
      </c>
      <c r="I102" s="60" t="str">
        <f t="shared" si="5"/>
        <v/>
      </c>
    </row>
    <row r="103" spans="1:9" ht="20" customHeight="1" x14ac:dyDescent="0.35">
      <c r="A103" s="39"/>
      <c r="B103" s="61"/>
      <c r="C103" s="61"/>
      <c r="D103" s="61"/>
      <c r="E103" s="61"/>
      <c r="F103" s="58"/>
      <c r="G103" s="58"/>
      <c r="H103" s="59" t="str">
        <f t="shared" si="6"/>
        <v/>
      </c>
      <c r="I103" s="62" t="str">
        <f t="shared" ref="I103:I134" si="7">IF(H103="","",IF(I102="",H103,I102+H103))</f>
        <v/>
      </c>
    </row>
    <row r="104" spans="1:9" ht="20" customHeight="1" x14ac:dyDescent="0.35">
      <c r="A104" s="39"/>
      <c r="B104" s="57"/>
      <c r="C104" s="57"/>
      <c r="D104" s="57"/>
      <c r="E104" s="57"/>
      <c r="F104" s="58"/>
      <c r="G104" s="58"/>
      <c r="H104" s="59" t="str">
        <f t="shared" si="6"/>
        <v/>
      </c>
      <c r="I104" s="60" t="str">
        <f t="shared" si="7"/>
        <v/>
      </c>
    </row>
    <row r="105" spans="1:9" ht="20" customHeight="1" x14ac:dyDescent="0.35">
      <c r="A105" s="39"/>
      <c r="B105" s="61"/>
      <c r="C105" s="61"/>
      <c r="D105" s="61"/>
      <c r="E105" s="61"/>
      <c r="F105" s="58"/>
      <c r="G105" s="58"/>
      <c r="H105" s="59" t="str">
        <f t="shared" si="6"/>
        <v/>
      </c>
      <c r="I105" s="62" t="str">
        <f t="shared" si="7"/>
        <v/>
      </c>
    </row>
    <row r="106" spans="1:9" ht="20" customHeight="1" x14ac:dyDescent="0.35">
      <c r="A106" s="39"/>
      <c r="B106" s="57"/>
      <c r="C106" s="57"/>
      <c r="D106" s="57"/>
      <c r="E106" s="57"/>
      <c r="F106" s="58"/>
      <c r="G106" s="58"/>
      <c r="H106" s="59" t="str">
        <f t="shared" si="6"/>
        <v/>
      </c>
      <c r="I106" s="60" t="str">
        <f t="shared" si="7"/>
        <v/>
      </c>
    </row>
    <row r="107" spans="1:9" ht="20" customHeight="1" x14ac:dyDescent="0.35">
      <c r="A107" s="39"/>
      <c r="B107" s="61"/>
      <c r="C107" s="61"/>
      <c r="D107" s="61"/>
      <c r="E107" s="61"/>
      <c r="F107" s="58"/>
      <c r="G107" s="58"/>
      <c r="H107" s="59" t="str">
        <f t="shared" si="6"/>
        <v/>
      </c>
      <c r="I107" s="62" t="str">
        <f t="shared" si="7"/>
        <v/>
      </c>
    </row>
    <row r="108" spans="1:9" ht="20" customHeight="1" x14ac:dyDescent="0.35">
      <c r="A108" s="39"/>
      <c r="B108" s="57"/>
      <c r="C108" s="57"/>
      <c r="D108" s="57"/>
      <c r="E108" s="57"/>
      <c r="F108" s="58"/>
      <c r="G108" s="58"/>
      <c r="H108" s="59" t="str">
        <f t="shared" si="6"/>
        <v/>
      </c>
      <c r="I108" s="60" t="str">
        <f t="shared" si="7"/>
        <v/>
      </c>
    </row>
    <row r="109" spans="1:9" ht="20" customHeight="1" x14ac:dyDescent="0.35">
      <c r="A109" s="39"/>
      <c r="B109" s="61"/>
      <c r="C109" s="61"/>
      <c r="D109" s="61"/>
      <c r="E109" s="61"/>
      <c r="F109" s="58"/>
      <c r="G109" s="58"/>
      <c r="H109" s="59" t="str">
        <f t="shared" si="6"/>
        <v/>
      </c>
      <c r="I109" s="62" t="str">
        <f t="shared" si="7"/>
        <v/>
      </c>
    </row>
    <row r="110" spans="1:9" ht="20" customHeight="1" x14ac:dyDescent="0.35">
      <c r="A110" s="39"/>
      <c r="B110" s="57"/>
      <c r="C110" s="57"/>
      <c r="D110" s="57"/>
      <c r="E110" s="57"/>
      <c r="F110" s="58"/>
      <c r="G110" s="58"/>
      <c r="H110" s="59" t="str">
        <f t="shared" si="6"/>
        <v/>
      </c>
      <c r="I110" s="60" t="str">
        <f t="shared" si="7"/>
        <v/>
      </c>
    </row>
    <row r="111" spans="1:9" ht="20" customHeight="1" x14ac:dyDescent="0.35">
      <c r="A111" s="39"/>
      <c r="B111" s="61"/>
      <c r="C111" s="61"/>
      <c r="D111" s="61"/>
      <c r="E111" s="61"/>
      <c r="F111" s="58"/>
      <c r="G111" s="58"/>
      <c r="H111" s="59" t="str">
        <f t="shared" si="6"/>
        <v/>
      </c>
      <c r="I111" s="62" t="str">
        <f t="shared" si="7"/>
        <v/>
      </c>
    </row>
    <row r="112" spans="1:9" ht="20" customHeight="1" x14ac:dyDescent="0.35">
      <c r="A112" s="39"/>
      <c r="B112" s="57"/>
      <c r="C112" s="57"/>
      <c r="D112" s="57"/>
      <c r="E112" s="57"/>
      <c r="F112" s="58"/>
      <c r="G112" s="58"/>
      <c r="H112" s="59" t="str">
        <f t="shared" si="6"/>
        <v/>
      </c>
      <c r="I112" s="60" t="str">
        <f t="shared" si="7"/>
        <v/>
      </c>
    </row>
    <row r="113" spans="1:9" ht="20" customHeight="1" x14ac:dyDescent="0.35">
      <c r="A113" s="39"/>
      <c r="B113" s="61"/>
      <c r="C113" s="61"/>
      <c r="D113" s="61"/>
      <c r="E113" s="61"/>
      <c r="F113" s="58"/>
      <c r="G113" s="58"/>
      <c r="H113" s="59" t="str">
        <f t="shared" si="6"/>
        <v/>
      </c>
      <c r="I113" s="62" t="str">
        <f t="shared" si="7"/>
        <v/>
      </c>
    </row>
    <row r="114" spans="1:9" ht="20" customHeight="1" x14ac:dyDescent="0.35">
      <c r="A114" s="39"/>
      <c r="B114" s="57"/>
      <c r="C114" s="57"/>
      <c r="D114" s="57"/>
      <c r="E114" s="57"/>
      <c r="F114" s="58"/>
      <c r="G114" s="58"/>
      <c r="H114" s="59" t="str">
        <f t="shared" si="6"/>
        <v/>
      </c>
      <c r="I114" s="60" t="str">
        <f t="shared" si="7"/>
        <v/>
      </c>
    </row>
    <row r="115" spans="1:9" ht="20" customHeight="1" x14ac:dyDescent="0.35">
      <c r="A115" s="39"/>
      <c r="B115" s="61"/>
      <c r="C115" s="61"/>
      <c r="D115" s="61"/>
      <c r="E115" s="61"/>
      <c r="F115" s="58"/>
      <c r="G115" s="58"/>
      <c r="H115" s="59" t="str">
        <f t="shared" si="6"/>
        <v/>
      </c>
      <c r="I115" s="62" t="str">
        <f t="shared" si="7"/>
        <v/>
      </c>
    </row>
    <row r="116" spans="1:9" ht="20" customHeight="1" x14ac:dyDescent="0.35">
      <c r="A116" s="39"/>
      <c r="B116" s="57"/>
      <c r="C116" s="57"/>
      <c r="D116" s="57"/>
      <c r="E116" s="57"/>
      <c r="F116" s="58"/>
      <c r="G116" s="58"/>
      <c r="H116" s="59" t="str">
        <f t="shared" si="6"/>
        <v/>
      </c>
      <c r="I116" s="60" t="str">
        <f t="shared" si="7"/>
        <v/>
      </c>
    </row>
    <row r="117" spans="1:9" ht="20" customHeight="1" x14ac:dyDescent="0.35">
      <c r="A117" s="39"/>
      <c r="B117" s="61"/>
      <c r="C117" s="61"/>
      <c r="D117" s="61"/>
      <c r="E117" s="61"/>
      <c r="F117" s="58"/>
      <c r="G117" s="58"/>
      <c r="H117" s="59" t="str">
        <f t="shared" si="6"/>
        <v/>
      </c>
      <c r="I117" s="62" t="str">
        <f t="shared" si="7"/>
        <v/>
      </c>
    </row>
    <row r="118" spans="1:9" ht="20" customHeight="1" x14ac:dyDescent="0.35">
      <c r="A118" s="39"/>
      <c r="B118" s="57"/>
      <c r="C118" s="57"/>
      <c r="D118" s="57"/>
      <c r="E118" s="57"/>
      <c r="F118" s="58"/>
      <c r="G118" s="58"/>
      <c r="H118" s="59" t="str">
        <f t="shared" si="6"/>
        <v/>
      </c>
      <c r="I118" s="60" t="str">
        <f t="shared" si="7"/>
        <v/>
      </c>
    </row>
    <row r="119" spans="1:9" ht="20" customHeight="1" x14ac:dyDescent="0.35">
      <c r="A119" s="39"/>
      <c r="B119" s="61"/>
      <c r="C119" s="61"/>
      <c r="D119" s="61"/>
      <c r="E119" s="61"/>
      <c r="F119" s="58"/>
      <c r="G119" s="58"/>
      <c r="H119" s="59" t="str">
        <f t="shared" si="6"/>
        <v/>
      </c>
      <c r="I119" s="62" t="str">
        <f t="shared" si="7"/>
        <v/>
      </c>
    </row>
    <row r="120" spans="1:9" ht="20" customHeight="1" x14ac:dyDescent="0.35">
      <c r="A120" s="39"/>
      <c r="B120" s="57"/>
      <c r="C120" s="57"/>
      <c r="D120" s="57"/>
      <c r="E120" s="57"/>
      <c r="F120" s="58"/>
      <c r="G120" s="58"/>
      <c r="H120" s="59" t="str">
        <f t="shared" si="6"/>
        <v/>
      </c>
      <c r="I120" s="60" t="str">
        <f t="shared" si="7"/>
        <v/>
      </c>
    </row>
    <row r="121" spans="1:9" ht="20" customHeight="1" x14ac:dyDescent="0.35">
      <c r="A121" s="39"/>
      <c r="B121" s="61"/>
      <c r="C121" s="61"/>
      <c r="D121" s="61"/>
      <c r="E121" s="61"/>
      <c r="F121" s="58"/>
      <c r="G121" s="58"/>
      <c r="H121" s="59" t="str">
        <f t="shared" si="6"/>
        <v/>
      </c>
      <c r="I121" s="62" t="str">
        <f t="shared" si="7"/>
        <v/>
      </c>
    </row>
    <row r="122" spans="1:9" ht="20" customHeight="1" x14ac:dyDescent="0.35">
      <c r="A122" s="39"/>
      <c r="B122" s="57"/>
      <c r="C122" s="57"/>
      <c r="D122" s="57"/>
      <c r="E122" s="57"/>
      <c r="F122" s="58"/>
      <c r="G122" s="58"/>
      <c r="H122" s="59" t="str">
        <f t="shared" si="6"/>
        <v/>
      </c>
      <c r="I122" s="60" t="str">
        <f t="shared" si="7"/>
        <v/>
      </c>
    </row>
    <row r="123" spans="1:9" ht="20" customHeight="1" x14ac:dyDescent="0.35">
      <c r="A123" s="39"/>
      <c r="B123" s="61"/>
      <c r="C123" s="61"/>
      <c r="D123" s="61"/>
      <c r="E123" s="61"/>
      <c r="F123" s="58"/>
      <c r="G123" s="58"/>
      <c r="H123" s="59" t="str">
        <f t="shared" si="6"/>
        <v/>
      </c>
      <c r="I123" s="62" t="str">
        <f t="shared" si="7"/>
        <v/>
      </c>
    </row>
    <row r="124" spans="1:9" ht="20" customHeight="1" x14ac:dyDescent="0.35">
      <c r="A124" s="39"/>
      <c r="B124" s="57"/>
      <c r="C124" s="57"/>
      <c r="D124" s="57"/>
      <c r="E124" s="57"/>
      <c r="F124" s="58"/>
      <c r="G124" s="58"/>
      <c r="H124" s="59" t="str">
        <f t="shared" si="6"/>
        <v/>
      </c>
      <c r="I124" s="60" t="str">
        <f t="shared" si="7"/>
        <v/>
      </c>
    </row>
    <row r="125" spans="1:9" ht="20" customHeight="1" x14ac:dyDescent="0.35">
      <c r="A125" s="39"/>
      <c r="B125" s="61"/>
      <c r="C125" s="61"/>
      <c r="D125" s="61"/>
      <c r="E125" s="61"/>
      <c r="F125" s="58"/>
      <c r="G125" s="58"/>
      <c r="H125" s="59" t="str">
        <f t="shared" si="6"/>
        <v/>
      </c>
      <c r="I125" s="62" t="str">
        <f t="shared" si="7"/>
        <v/>
      </c>
    </row>
    <row r="126" spans="1:9" ht="20" customHeight="1" x14ac:dyDescent="0.35">
      <c r="A126" s="39"/>
      <c r="B126" s="57"/>
      <c r="C126" s="57"/>
      <c r="D126" s="57"/>
      <c r="E126" s="57"/>
      <c r="F126" s="58"/>
      <c r="G126" s="58"/>
      <c r="H126" s="59" t="str">
        <f t="shared" si="6"/>
        <v/>
      </c>
      <c r="I126" s="60" t="str">
        <f t="shared" si="7"/>
        <v/>
      </c>
    </row>
    <row r="127" spans="1:9" ht="20" customHeight="1" x14ac:dyDescent="0.35">
      <c r="A127" s="39"/>
      <c r="B127" s="61"/>
      <c r="C127" s="61"/>
      <c r="D127" s="61"/>
      <c r="E127" s="61"/>
      <c r="F127" s="58"/>
      <c r="G127" s="58"/>
      <c r="H127" s="59" t="str">
        <f t="shared" si="6"/>
        <v/>
      </c>
      <c r="I127" s="62" t="str">
        <f t="shared" si="7"/>
        <v/>
      </c>
    </row>
    <row r="128" spans="1:9" ht="20" customHeight="1" x14ac:dyDescent="0.35">
      <c r="A128" s="39"/>
      <c r="B128" s="57"/>
      <c r="C128" s="57"/>
      <c r="D128" s="57"/>
      <c r="E128" s="57"/>
      <c r="F128" s="58"/>
      <c r="G128" s="58"/>
      <c r="H128" s="59" t="str">
        <f t="shared" si="6"/>
        <v/>
      </c>
      <c r="I128" s="60" t="str">
        <f t="shared" si="7"/>
        <v/>
      </c>
    </row>
    <row r="129" spans="1:9" ht="20" customHeight="1" x14ac:dyDescent="0.35">
      <c r="A129" s="39"/>
      <c r="B129" s="61"/>
      <c r="C129" s="61"/>
      <c r="D129" s="61"/>
      <c r="E129" s="61"/>
      <c r="F129" s="58"/>
      <c r="G129" s="58"/>
      <c r="H129" s="59" t="str">
        <f t="shared" si="6"/>
        <v/>
      </c>
      <c r="I129" s="62" t="str">
        <f t="shared" si="7"/>
        <v/>
      </c>
    </row>
    <row r="130" spans="1:9" ht="20" customHeight="1" x14ac:dyDescent="0.35">
      <c r="A130" s="39"/>
      <c r="B130" s="57"/>
      <c r="C130" s="57"/>
      <c r="D130" s="57"/>
      <c r="E130" s="57"/>
      <c r="F130" s="58"/>
      <c r="G130" s="58"/>
      <c r="H130" s="59" t="str">
        <f t="shared" si="6"/>
        <v/>
      </c>
      <c r="I130" s="60" t="str">
        <f t="shared" si="7"/>
        <v/>
      </c>
    </row>
    <row r="131" spans="1:9" ht="20" customHeight="1" x14ac:dyDescent="0.35">
      <c r="A131" s="39"/>
      <c r="B131" s="61"/>
      <c r="C131" s="61"/>
      <c r="D131" s="61"/>
      <c r="E131" s="61"/>
      <c r="F131" s="58"/>
      <c r="G131" s="58"/>
      <c r="H131" s="59" t="str">
        <f t="shared" si="6"/>
        <v/>
      </c>
      <c r="I131" s="62" t="str">
        <f t="shared" si="7"/>
        <v/>
      </c>
    </row>
    <row r="132" spans="1:9" ht="20" customHeight="1" x14ac:dyDescent="0.35">
      <c r="A132" s="39"/>
      <c r="B132" s="57"/>
      <c r="C132" s="57"/>
      <c r="D132" s="57"/>
      <c r="E132" s="57"/>
      <c r="F132" s="58"/>
      <c r="G132" s="58"/>
      <c r="H132" s="59" t="str">
        <f t="shared" si="6"/>
        <v/>
      </c>
      <c r="I132" s="60" t="str">
        <f t="shared" si="7"/>
        <v/>
      </c>
    </row>
    <row r="133" spans="1:9" ht="20" customHeight="1" x14ac:dyDescent="0.35">
      <c r="A133" s="39"/>
      <c r="B133" s="61"/>
      <c r="C133" s="61"/>
      <c r="D133" s="61"/>
      <c r="E133" s="61"/>
      <c r="F133" s="58"/>
      <c r="G133" s="58"/>
      <c r="H133" s="59" t="str">
        <f t="shared" si="6"/>
        <v/>
      </c>
      <c r="I133" s="62" t="str">
        <f t="shared" si="7"/>
        <v/>
      </c>
    </row>
    <row r="134" spans="1:9" ht="20" customHeight="1" x14ac:dyDescent="0.35">
      <c r="A134" s="39"/>
      <c r="B134" s="57"/>
      <c r="C134" s="57"/>
      <c r="D134" s="57"/>
      <c r="E134" s="57"/>
      <c r="F134" s="58"/>
      <c r="G134" s="58"/>
      <c r="H134" s="59" t="str">
        <f t="shared" ref="H134:H165" si="8">IF(F134+G134=0,"",F134+G134)</f>
        <v/>
      </c>
      <c r="I134" s="60" t="str">
        <f t="shared" si="7"/>
        <v/>
      </c>
    </row>
    <row r="135" spans="1:9" ht="20" customHeight="1" x14ac:dyDescent="0.35">
      <c r="A135" s="39"/>
      <c r="B135" s="61"/>
      <c r="C135" s="61"/>
      <c r="D135" s="61"/>
      <c r="E135" s="61"/>
      <c r="F135" s="58"/>
      <c r="G135" s="58"/>
      <c r="H135" s="59" t="str">
        <f t="shared" si="8"/>
        <v/>
      </c>
      <c r="I135" s="62" t="str">
        <f t="shared" ref="I135:I166" si="9">IF(H135="","",IF(I134="",H135,I134+H135))</f>
        <v/>
      </c>
    </row>
    <row r="136" spans="1:9" ht="20" customHeight="1" x14ac:dyDescent="0.35">
      <c r="A136" s="39"/>
      <c r="B136" s="57"/>
      <c r="C136" s="57"/>
      <c r="D136" s="57"/>
      <c r="E136" s="57"/>
      <c r="F136" s="58"/>
      <c r="G136" s="58"/>
      <c r="H136" s="59" t="str">
        <f t="shared" si="8"/>
        <v/>
      </c>
      <c r="I136" s="60" t="str">
        <f t="shared" si="9"/>
        <v/>
      </c>
    </row>
    <row r="137" spans="1:9" ht="20" customHeight="1" x14ac:dyDescent="0.35">
      <c r="A137" s="39"/>
      <c r="B137" s="61"/>
      <c r="C137" s="61"/>
      <c r="D137" s="61"/>
      <c r="E137" s="61"/>
      <c r="F137" s="58"/>
      <c r="G137" s="58"/>
      <c r="H137" s="59" t="str">
        <f t="shared" si="8"/>
        <v/>
      </c>
      <c r="I137" s="62" t="str">
        <f t="shared" si="9"/>
        <v/>
      </c>
    </row>
    <row r="138" spans="1:9" ht="20" customHeight="1" x14ac:dyDescent="0.35">
      <c r="A138" s="39"/>
      <c r="B138" s="57"/>
      <c r="C138" s="57"/>
      <c r="D138" s="57"/>
      <c r="E138" s="57"/>
      <c r="F138" s="58"/>
      <c r="G138" s="58"/>
      <c r="H138" s="59" t="str">
        <f t="shared" si="8"/>
        <v/>
      </c>
      <c r="I138" s="60" t="str">
        <f t="shared" si="9"/>
        <v/>
      </c>
    </row>
    <row r="139" spans="1:9" ht="20" customHeight="1" x14ac:dyDescent="0.35">
      <c r="A139" s="39"/>
      <c r="B139" s="61"/>
      <c r="C139" s="61"/>
      <c r="D139" s="61"/>
      <c r="E139" s="61"/>
      <c r="F139" s="58"/>
      <c r="G139" s="58"/>
      <c r="H139" s="59" t="str">
        <f t="shared" si="8"/>
        <v/>
      </c>
      <c r="I139" s="62" t="str">
        <f t="shared" si="9"/>
        <v/>
      </c>
    </row>
    <row r="140" spans="1:9" ht="20" customHeight="1" x14ac:dyDescent="0.35">
      <c r="A140" s="39"/>
      <c r="B140" s="57"/>
      <c r="C140" s="57"/>
      <c r="D140" s="57"/>
      <c r="E140" s="57"/>
      <c r="F140" s="58"/>
      <c r="G140" s="58"/>
      <c r="H140" s="59" t="str">
        <f t="shared" si="8"/>
        <v/>
      </c>
      <c r="I140" s="60" t="str">
        <f t="shared" si="9"/>
        <v/>
      </c>
    </row>
    <row r="141" spans="1:9" ht="20" customHeight="1" x14ac:dyDescent="0.35">
      <c r="A141" s="39"/>
      <c r="B141" s="61"/>
      <c r="C141" s="61"/>
      <c r="D141" s="61"/>
      <c r="E141" s="61"/>
      <c r="F141" s="58"/>
      <c r="G141" s="58"/>
      <c r="H141" s="59" t="str">
        <f t="shared" si="8"/>
        <v/>
      </c>
      <c r="I141" s="62" t="str">
        <f t="shared" si="9"/>
        <v/>
      </c>
    </row>
    <row r="142" spans="1:9" ht="20" customHeight="1" x14ac:dyDescent="0.35">
      <c r="A142" s="39"/>
      <c r="B142" s="57"/>
      <c r="C142" s="57"/>
      <c r="D142" s="57"/>
      <c r="E142" s="57"/>
      <c r="F142" s="58"/>
      <c r="G142" s="58"/>
      <c r="H142" s="59" t="str">
        <f t="shared" si="8"/>
        <v/>
      </c>
      <c r="I142" s="60" t="str">
        <f t="shared" si="9"/>
        <v/>
      </c>
    </row>
    <row r="143" spans="1:9" ht="20" customHeight="1" x14ac:dyDescent="0.35">
      <c r="A143" s="39"/>
      <c r="B143" s="61"/>
      <c r="C143" s="61"/>
      <c r="D143" s="61"/>
      <c r="E143" s="61"/>
      <c r="F143" s="58"/>
      <c r="G143" s="58"/>
      <c r="H143" s="59" t="str">
        <f t="shared" si="8"/>
        <v/>
      </c>
      <c r="I143" s="62" t="str">
        <f t="shared" si="9"/>
        <v/>
      </c>
    </row>
    <row r="144" spans="1:9" ht="20" customHeight="1" x14ac:dyDescent="0.35">
      <c r="A144" s="39"/>
      <c r="B144" s="57"/>
      <c r="C144" s="57"/>
      <c r="D144" s="57"/>
      <c r="E144" s="57"/>
      <c r="F144" s="58"/>
      <c r="G144" s="58"/>
      <c r="H144" s="59" t="str">
        <f t="shared" si="8"/>
        <v/>
      </c>
      <c r="I144" s="60" t="str">
        <f t="shared" si="9"/>
        <v/>
      </c>
    </row>
    <row r="145" spans="1:9" ht="20" customHeight="1" x14ac:dyDescent="0.35">
      <c r="A145" s="39"/>
      <c r="B145" s="61"/>
      <c r="C145" s="61"/>
      <c r="D145" s="61"/>
      <c r="E145" s="61"/>
      <c r="F145" s="58"/>
      <c r="G145" s="58"/>
      <c r="H145" s="59" t="str">
        <f t="shared" si="8"/>
        <v/>
      </c>
      <c r="I145" s="62" t="str">
        <f t="shared" si="9"/>
        <v/>
      </c>
    </row>
    <row r="146" spans="1:9" ht="20" customHeight="1" x14ac:dyDescent="0.35">
      <c r="A146" s="39"/>
      <c r="B146" s="57"/>
      <c r="C146" s="57"/>
      <c r="D146" s="57"/>
      <c r="E146" s="57"/>
      <c r="F146" s="58"/>
      <c r="G146" s="58"/>
      <c r="H146" s="59" t="str">
        <f t="shared" si="8"/>
        <v/>
      </c>
      <c r="I146" s="60" t="str">
        <f t="shared" si="9"/>
        <v/>
      </c>
    </row>
    <row r="147" spans="1:9" ht="20" customHeight="1" x14ac:dyDescent="0.35">
      <c r="A147" s="39"/>
      <c r="B147" s="61"/>
      <c r="C147" s="61"/>
      <c r="D147" s="61"/>
      <c r="E147" s="61"/>
      <c r="F147" s="58"/>
      <c r="G147" s="58"/>
      <c r="H147" s="59" t="str">
        <f t="shared" si="8"/>
        <v/>
      </c>
      <c r="I147" s="62" t="str">
        <f t="shared" si="9"/>
        <v/>
      </c>
    </row>
    <row r="148" spans="1:9" ht="20" customHeight="1" x14ac:dyDescent="0.35">
      <c r="A148" s="39"/>
      <c r="B148" s="57"/>
      <c r="C148" s="57"/>
      <c r="D148" s="57"/>
      <c r="E148" s="57"/>
      <c r="F148" s="58"/>
      <c r="G148" s="58"/>
      <c r="H148" s="59" t="str">
        <f t="shared" si="8"/>
        <v/>
      </c>
      <c r="I148" s="60" t="str">
        <f t="shared" si="9"/>
        <v/>
      </c>
    </row>
    <row r="149" spans="1:9" ht="20" customHeight="1" x14ac:dyDescent="0.35">
      <c r="A149" s="39"/>
      <c r="B149" s="61"/>
      <c r="C149" s="61"/>
      <c r="D149" s="61"/>
      <c r="E149" s="61"/>
      <c r="F149" s="58"/>
      <c r="G149" s="58"/>
      <c r="H149" s="59" t="str">
        <f t="shared" si="8"/>
        <v/>
      </c>
      <c r="I149" s="62" t="str">
        <f t="shared" si="9"/>
        <v/>
      </c>
    </row>
    <row r="150" spans="1:9" ht="20" customHeight="1" x14ac:dyDescent="0.35">
      <c r="A150" s="39"/>
      <c r="B150" s="57"/>
      <c r="C150" s="57"/>
      <c r="D150" s="57"/>
      <c r="E150" s="57"/>
      <c r="F150" s="58"/>
      <c r="G150" s="58"/>
      <c r="H150" s="59" t="str">
        <f t="shared" si="8"/>
        <v/>
      </c>
      <c r="I150" s="60" t="str">
        <f t="shared" si="9"/>
        <v/>
      </c>
    </row>
    <row r="151" spans="1:9" ht="20" customHeight="1" x14ac:dyDescent="0.35">
      <c r="A151" s="39"/>
      <c r="B151" s="61"/>
      <c r="C151" s="61"/>
      <c r="D151" s="61"/>
      <c r="E151" s="61"/>
      <c r="F151" s="58"/>
      <c r="G151" s="58"/>
      <c r="H151" s="59" t="str">
        <f t="shared" si="8"/>
        <v/>
      </c>
      <c r="I151" s="62" t="str">
        <f t="shared" si="9"/>
        <v/>
      </c>
    </row>
    <row r="152" spans="1:9" ht="20" customHeight="1" x14ac:dyDescent="0.35">
      <c r="A152" s="39"/>
      <c r="B152" s="57"/>
      <c r="C152" s="57"/>
      <c r="D152" s="57"/>
      <c r="E152" s="57"/>
      <c r="F152" s="58"/>
      <c r="G152" s="58"/>
      <c r="H152" s="59" t="str">
        <f t="shared" si="8"/>
        <v/>
      </c>
      <c r="I152" s="60" t="str">
        <f t="shared" si="9"/>
        <v/>
      </c>
    </row>
    <row r="153" spans="1:9" ht="20" customHeight="1" x14ac:dyDescent="0.35">
      <c r="A153" s="39"/>
      <c r="B153" s="61"/>
      <c r="C153" s="61"/>
      <c r="D153" s="61"/>
      <c r="E153" s="61"/>
      <c r="F153" s="58"/>
      <c r="G153" s="58"/>
      <c r="H153" s="59" t="str">
        <f t="shared" si="8"/>
        <v/>
      </c>
      <c r="I153" s="62" t="str">
        <f t="shared" si="9"/>
        <v/>
      </c>
    </row>
    <row r="154" spans="1:9" ht="20" customHeight="1" x14ac:dyDescent="0.35">
      <c r="A154" s="39"/>
      <c r="B154" s="57"/>
      <c r="C154" s="57"/>
      <c r="D154" s="57"/>
      <c r="E154" s="57"/>
      <c r="F154" s="58"/>
      <c r="G154" s="58"/>
      <c r="H154" s="59" t="str">
        <f t="shared" si="8"/>
        <v/>
      </c>
      <c r="I154" s="60" t="str">
        <f t="shared" si="9"/>
        <v/>
      </c>
    </row>
    <row r="155" spans="1:9" ht="20" customHeight="1" x14ac:dyDescent="0.35">
      <c r="A155" s="39"/>
      <c r="B155" s="61"/>
      <c r="C155" s="61"/>
      <c r="D155" s="61"/>
      <c r="E155" s="61"/>
      <c r="F155" s="58"/>
      <c r="G155" s="58"/>
      <c r="H155" s="59" t="str">
        <f t="shared" si="8"/>
        <v/>
      </c>
      <c r="I155" s="62" t="str">
        <f t="shared" si="9"/>
        <v/>
      </c>
    </row>
    <row r="156" spans="1:9" ht="20" customHeight="1" x14ac:dyDescent="0.35">
      <c r="A156" s="39"/>
      <c r="B156" s="57"/>
      <c r="C156" s="57"/>
      <c r="D156" s="57"/>
      <c r="E156" s="57"/>
      <c r="F156" s="58"/>
      <c r="G156" s="58"/>
      <c r="H156" s="59" t="str">
        <f t="shared" si="8"/>
        <v/>
      </c>
      <c r="I156" s="60" t="str">
        <f t="shared" si="9"/>
        <v/>
      </c>
    </row>
    <row r="157" spans="1:9" ht="20" customHeight="1" x14ac:dyDescent="0.35">
      <c r="A157" s="39"/>
      <c r="B157" s="61"/>
      <c r="C157" s="61"/>
      <c r="D157" s="61"/>
      <c r="E157" s="61"/>
      <c r="F157" s="58"/>
      <c r="G157" s="58"/>
      <c r="H157" s="59" t="str">
        <f t="shared" si="8"/>
        <v/>
      </c>
      <c r="I157" s="62" t="str">
        <f t="shared" si="9"/>
        <v/>
      </c>
    </row>
    <row r="158" spans="1:9" ht="20" customHeight="1" x14ac:dyDescent="0.35">
      <c r="A158" s="39"/>
      <c r="B158" s="57"/>
      <c r="C158" s="57"/>
      <c r="D158" s="57"/>
      <c r="E158" s="57"/>
      <c r="F158" s="58"/>
      <c r="G158" s="58"/>
      <c r="H158" s="59" t="str">
        <f t="shared" si="8"/>
        <v/>
      </c>
      <c r="I158" s="60" t="str">
        <f t="shared" si="9"/>
        <v/>
      </c>
    </row>
    <row r="159" spans="1:9" ht="20" customHeight="1" x14ac:dyDescent="0.35">
      <c r="A159" s="39"/>
      <c r="B159" s="61"/>
      <c r="C159" s="61"/>
      <c r="D159" s="61"/>
      <c r="E159" s="61"/>
      <c r="F159" s="58"/>
      <c r="G159" s="58"/>
      <c r="H159" s="59" t="str">
        <f t="shared" si="8"/>
        <v/>
      </c>
      <c r="I159" s="62" t="str">
        <f t="shared" si="9"/>
        <v/>
      </c>
    </row>
    <row r="160" spans="1:9" ht="20" customHeight="1" x14ac:dyDescent="0.35">
      <c r="A160" s="39"/>
      <c r="B160" s="57"/>
      <c r="C160" s="57"/>
      <c r="D160" s="57"/>
      <c r="E160" s="57"/>
      <c r="F160" s="58"/>
      <c r="G160" s="58"/>
      <c r="H160" s="59" t="str">
        <f t="shared" si="8"/>
        <v/>
      </c>
      <c r="I160" s="60" t="str">
        <f t="shared" si="9"/>
        <v/>
      </c>
    </row>
    <row r="161" spans="1:9" ht="20" customHeight="1" x14ac:dyDescent="0.35">
      <c r="A161" s="39"/>
      <c r="B161" s="61"/>
      <c r="C161" s="61"/>
      <c r="D161" s="61"/>
      <c r="E161" s="61"/>
      <c r="F161" s="58"/>
      <c r="G161" s="58"/>
      <c r="H161" s="59" t="str">
        <f t="shared" si="8"/>
        <v/>
      </c>
      <c r="I161" s="62" t="str">
        <f t="shared" si="9"/>
        <v/>
      </c>
    </row>
    <row r="162" spans="1:9" ht="20" customHeight="1" x14ac:dyDescent="0.35">
      <c r="A162" s="39"/>
      <c r="B162" s="57"/>
      <c r="C162" s="57"/>
      <c r="D162" s="57"/>
      <c r="E162" s="57"/>
      <c r="F162" s="58"/>
      <c r="G162" s="58"/>
      <c r="H162" s="59" t="str">
        <f t="shared" si="8"/>
        <v/>
      </c>
      <c r="I162" s="60" t="str">
        <f t="shared" si="9"/>
        <v/>
      </c>
    </row>
    <row r="163" spans="1:9" ht="20" customHeight="1" x14ac:dyDescent="0.35">
      <c r="A163" s="39"/>
      <c r="B163" s="61"/>
      <c r="C163" s="61"/>
      <c r="D163" s="61"/>
      <c r="E163" s="61"/>
      <c r="F163" s="58"/>
      <c r="G163" s="58"/>
      <c r="H163" s="59" t="str">
        <f t="shared" si="8"/>
        <v/>
      </c>
      <c r="I163" s="62" t="str">
        <f t="shared" si="9"/>
        <v/>
      </c>
    </row>
    <row r="164" spans="1:9" ht="20" customHeight="1" x14ac:dyDescent="0.35">
      <c r="A164" s="39"/>
      <c r="B164" s="57"/>
      <c r="C164" s="57"/>
      <c r="D164" s="57"/>
      <c r="E164" s="57"/>
      <c r="F164" s="58"/>
      <c r="G164" s="58"/>
      <c r="H164" s="59" t="str">
        <f t="shared" si="8"/>
        <v/>
      </c>
      <c r="I164" s="60" t="str">
        <f t="shared" si="9"/>
        <v/>
      </c>
    </row>
    <row r="165" spans="1:9" ht="20" customHeight="1" x14ac:dyDescent="0.35">
      <c r="A165" s="39"/>
      <c r="B165" s="61"/>
      <c r="C165" s="61"/>
      <c r="D165" s="61"/>
      <c r="E165" s="61"/>
      <c r="F165" s="58"/>
      <c r="G165" s="58"/>
      <c r="H165" s="59" t="str">
        <f t="shared" si="8"/>
        <v/>
      </c>
      <c r="I165" s="62" t="str">
        <f t="shared" si="9"/>
        <v/>
      </c>
    </row>
    <row r="166" spans="1:9" ht="20" customHeight="1" x14ac:dyDescent="0.35">
      <c r="A166" s="39"/>
      <c r="B166" s="57"/>
      <c r="C166" s="57"/>
      <c r="D166" s="57"/>
      <c r="E166" s="57"/>
      <c r="F166" s="58"/>
      <c r="G166" s="58"/>
      <c r="H166" s="59" t="str">
        <f t="shared" ref="H166:H197" si="10">IF(F166+G166=0,"",F166+G166)</f>
        <v/>
      </c>
      <c r="I166" s="60" t="str">
        <f t="shared" si="9"/>
        <v/>
      </c>
    </row>
    <row r="167" spans="1:9" ht="20" customHeight="1" x14ac:dyDescent="0.35">
      <c r="A167" s="39"/>
      <c r="B167" s="61"/>
      <c r="C167" s="61"/>
      <c r="D167" s="61"/>
      <c r="E167" s="61"/>
      <c r="F167" s="58"/>
      <c r="G167" s="58"/>
      <c r="H167" s="59" t="str">
        <f t="shared" si="10"/>
        <v/>
      </c>
      <c r="I167" s="62" t="str">
        <f t="shared" ref="I167:I198" si="11">IF(H167="","",IF(I166="",H167,I166+H167))</f>
        <v/>
      </c>
    </row>
    <row r="168" spans="1:9" ht="20" customHeight="1" x14ac:dyDescent="0.35">
      <c r="A168" s="39"/>
      <c r="B168" s="57"/>
      <c r="C168" s="57"/>
      <c r="D168" s="57"/>
      <c r="E168" s="57"/>
      <c r="F168" s="58"/>
      <c r="G168" s="58"/>
      <c r="H168" s="59" t="str">
        <f t="shared" si="10"/>
        <v/>
      </c>
      <c r="I168" s="60" t="str">
        <f t="shared" si="11"/>
        <v/>
      </c>
    </row>
    <row r="169" spans="1:9" ht="20" customHeight="1" x14ac:dyDescent="0.35">
      <c r="A169" s="39"/>
      <c r="B169" s="61"/>
      <c r="C169" s="61"/>
      <c r="D169" s="61"/>
      <c r="E169" s="61"/>
      <c r="F169" s="58"/>
      <c r="G169" s="58"/>
      <c r="H169" s="59" t="str">
        <f t="shared" si="10"/>
        <v/>
      </c>
      <c r="I169" s="62" t="str">
        <f t="shared" si="11"/>
        <v/>
      </c>
    </row>
    <row r="170" spans="1:9" ht="20" customHeight="1" x14ac:dyDescent="0.35">
      <c r="A170" s="39"/>
      <c r="B170" s="57"/>
      <c r="C170" s="57"/>
      <c r="D170" s="57"/>
      <c r="E170" s="57"/>
      <c r="F170" s="58"/>
      <c r="G170" s="58"/>
      <c r="H170" s="59" t="str">
        <f t="shared" si="10"/>
        <v/>
      </c>
      <c r="I170" s="60" t="str">
        <f t="shared" si="11"/>
        <v/>
      </c>
    </row>
    <row r="171" spans="1:9" ht="20" customHeight="1" x14ac:dyDescent="0.35">
      <c r="A171" s="39"/>
      <c r="B171" s="61"/>
      <c r="C171" s="61"/>
      <c r="D171" s="61"/>
      <c r="E171" s="61"/>
      <c r="F171" s="58"/>
      <c r="G171" s="58"/>
      <c r="H171" s="59" t="str">
        <f t="shared" si="10"/>
        <v/>
      </c>
      <c r="I171" s="62" t="str">
        <f t="shared" si="11"/>
        <v/>
      </c>
    </row>
    <row r="172" spans="1:9" ht="20" customHeight="1" x14ac:dyDescent="0.35">
      <c r="A172" s="39"/>
      <c r="B172" s="57"/>
      <c r="C172" s="57"/>
      <c r="D172" s="57"/>
      <c r="E172" s="57"/>
      <c r="F172" s="58"/>
      <c r="G172" s="58"/>
      <c r="H172" s="59" t="str">
        <f t="shared" si="10"/>
        <v/>
      </c>
      <c r="I172" s="60" t="str">
        <f t="shared" si="11"/>
        <v/>
      </c>
    </row>
    <row r="173" spans="1:9" ht="20" customHeight="1" x14ac:dyDescent="0.35">
      <c r="A173" s="39"/>
      <c r="B173" s="61"/>
      <c r="C173" s="61"/>
      <c r="D173" s="61"/>
      <c r="E173" s="61"/>
      <c r="F173" s="58"/>
      <c r="G173" s="58"/>
      <c r="H173" s="59" t="str">
        <f t="shared" si="10"/>
        <v/>
      </c>
      <c r="I173" s="62" t="str">
        <f t="shared" si="11"/>
        <v/>
      </c>
    </row>
    <row r="174" spans="1:9" ht="20" customHeight="1" x14ac:dyDescent="0.35">
      <c r="A174" s="39"/>
      <c r="B174" s="57"/>
      <c r="C174" s="57"/>
      <c r="D174" s="57"/>
      <c r="E174" s="57"/>
      <c r="F174" s="58"/>
      <c r="G174" s="58"/>
      <c r="H174" s="59" t="str">
        <f t="shared" si="10"/>
        <v/>
      </c>
      <c r="I174" s="60" t="str">
        <f t="shared" si="11"/>
        <v/>
      </c>
    </row>
    <row r="175" spans="1:9" ht="20" customHeight="1" x14ac:dyDescent="0.35">
      <c r="A175" s="39"/>
      <c r="B175" s="61"/>
      <c r="C175" s="61"/>
      <c r="D175" s="61"/>
      <c r="E175" s="61"/>
      <c r="F175" s="58"/>
      <c r="G175" s="58"/>
      <c r="H175" s="59" t="str">
        <f t="shared" si="10"/>
        <v/>
      </c>
      <c r="I175" s="62" t="str">
        <f t="shared" si="11"/>
        <v/>
      </c>
    </row>
    <row r="176" spans="1:9" ht="20" customHeight="1" x14ac:dyDescent="0.35">
      <c r="A176" s="39"/>
      <c r="B176" s="57"/>
      <c r="C176" s="57"/>
      <c r="D176" s="57"/>
      <c r="E176" s="57"/>
      <c r="F176" s="58"/>
      <c r="G176" s="58"/>
      <c r="H176" s="59" t="str">
        <f t="shared" si="10"/>
        <v/>
      </c>
      <c r="I176" s="60" t="str">
        <f t="shared" si="11"/>
        <v/>
      </c>
    </row>
    <row r="177" spans="1:9" ht="20" customHeight="1" x14ac:dyDescent="0.35">
      <c r="A177" s="39"/>
      <c r="B177" s="61"/>
      <c r="C177" s="61"/>
      <c r="D177" s="61"/>
      <c r="E177" s="61"/>
      <c r="F177" s="58"/>
      <c r="G177" s="58"/>
      <c r="H177" s="59" t="str">
        <f t="shared" si="10"/>
        <v/>
      </c>
      <c r="I177" s="62" t="str">
        <f t="shared" si="11"/>
        <v/>
      </c>
    </row>
    <row r="178" spans="1:9" ht="20" customHeight="1" x14ac:dyDescent="0.35">
      <c r="A178" s="39"/>
      <c r="B178" s="57"/>
      <c r="C178" s="57"/>
      <c r="D178" s="57"/>
      <c r="E178" s="57"/>
      <c r="F178" s="58"/>
      <c r="G178" s="58"/>
      <c r="H178" s="59" t="str">
        <f t="shared" si="10"/>
        <v/>
      </c>
      <c r="I178" s="60" t="str">
        <f t="shared" si="11"/>
        <v/>
      </c>
    </row>
    <row r="179" spans="1:9" ht="20" customHeight="1" x14ac:dyDescent="0.35">
      <c r="A179" s="39"/>
      <c r="B179" s="61"/>
      <c r="C179" s="61"/>
      <c r="D179" s="61"/>
      <c r="E179" s="61"/>
      <c r="F179" s="58"/>
      <c r="G179" s="58"/>
      <c r="H179" s="59" t="str">
        <f t="shared" si="10"/>
        <v/>
      </c>
      <c r="I179" s="62" t="str">
        <f t="shared" si="11"/>
        <v/>
      </c>
    </row>
    <row r="180" spans="1:9" ht="20" customHeight="1" x14ac:dyDescent="0.35">
      <c r="A180" s="39"/>
      <c r="B180" s="57"/>
      <c r="C180" s="57"/>
      <c r="D180" s="57"/>
      <c r="E180" s="57"/>
      <c r="F180" s="58"/>
      <c r="G180" s="58"/>
      <c r="H180" s="59" t="str">
        <f t="shared" si="10"/>
        <v/>
      </c>
      <c r="I180" s="60" t="str">
        <f t="shared" si="11"/>
        <v/>
      </c>
    </row>
    <row r="181" spans="1:9" ht="20" customHeight="1" x14ac:dyDescent="0.35">
      <c r="A181" s="39"/>
      <c r="B181" s="61"/>
      <c r="C181" s="61"/>
      <c r="D181" s="61"/>
      <c r="E181" s="61"/>
      <c r="F181" s="58"/>
      <c r="G181" s="58"/>
      <c r="H181" s="59" t="str">
        <f t="shared" si="10"/>
        <v/>
      </c>
      <c r="I181" s="62" t="str">
        <f t="shared" si="11"/>
        <v/>
      </c>
    </row>
    <row r="182" spans="1:9" ht="20" customHeight="1" x14ac:dyDescent="0.35">
      <c r="A182" s="39"/>
      <c r="B182" s="57"/>
      <c r="C182" s="57"/>
      <c r="D182" s="57"/>
      <c r="E182" s="57"/>
      <c r="F182" s="58"/>
      <c r="G182" s="58"/>
      <c r="H182" s="59" t="str">
        <f t="shared" si="10"/>
        <v/>
      </c>
      <c r="I182" s="60" t="str">
        <f t="shared" si="11"/>
        <v/>
      </c>
    </row>
    <row r="183" spans="1:9" ht="20" customHeight="1" x14ac:dyDescent="0.35">
      <c r="A183" s="39"/>
      <c r="B183" s="61"/>
      <c r="C183" s="61"/>
      <c r="D183" s="61"/>
      <c r="E183" s="61"/>
      <c r="F183" s="58"/>
      <c r="G183" s="58"/>
      <c r="H183" s="59" t="str">
        <f t="shared" si="10"/>
        <v/>
      </c>
      <c r="I183" s="62" t="str">
        <f t="shared" si="11"/>
        <v/>
      </c>
    </row>
    <row r="184" spans="1:9" ht="20" customHeight="1" x14ac:dyDescent="0.35">
      <c r="A184" s="39"/>
      <c r="B184" s="57"/>
      <c r="C184" s="57"/>
      <c r="D184" s="57"/>
      <c r="E184" s="57"/>
      <c r="F184" s="58"/>
      <c r="G184" s="58"/>
      <c r="H184" s="59" t="str">
        <f t="shared" si="10"/>
        <v/>
      </c>
      <c r="I184" s="60" t="str">
        <f t="shared" si="11"/>
        <v/>
      </c>
    </row>
    <row r="185" spans="1:9" ht="20" customHeight="1" x14ac:dyDescent="0.35">
      <c r="A185" s="39"/>
      <c r="B185" s="61"/>
      <c r="C185" s="61"/>
      <c r="D185" s="61"/>
      <c r="E185" s="61"/>
      <c r="F185" s="58"/>
      <c r="G185" s="58"/>
      <c r="H185" s="59" t="str">
        <f t="shared" si="10"/>
        <v/>
      </c>
      <c r="I185" s="62" t="str">
        <f t="shared" si="11"/>
        <v/>
      </c>
    </row>
    <row r="186" spans="1:9" ht="20" customHeight="1" x14ac:dyDescent="0.35">
      <c r="A186" s="39"/>
      <c r="B186" s="57"/>
      <c r="C186" s="57"/>
      <c r="D186" s="57"/>
      <c r="E186" s="57"/>
      <c r="F186" s="58"/>
      <c r="G186" s="58"/>
      <c r="H186" s="59" t="str">
        <f t="shared" si="10"/>
        <v/>
      </c>
      <c r="I186" s="60" t="str">
        <f t="shared" si="11"/>
        <v/>
      </c>
    </row>
    <row r="187" spans="1:9" ht="20" customHeight="1" x14ac:dyDescent="0.35">
      <c r="A187" s="39"/>
      <c r="B187" s="61"/>
      <c r="C187" s="61"/>
      <c r="D187" s="61"/>
      <c r="E187" s="61"/>
      <c r="F187" s="58"/>
      <c r="G187" s="58"/>
      <c r="H187" s="59" t="str">
        <f t="shared" si="10"/>
        <v/>
      </c>
      <c r="I187" s="62" t="str">
        <f t="shared" si="11"/>
        <v/>
      </c>
    </row>
    <row r="188" spans="1:9" ht="20" customHeight="1" x14ac:dyDescent="0.35">
      <c r="A188" s="39"/>
      <c r="B188" s="57"/>
      <c r="C188" s="57"/>
      <c r="D188" s="57"/>
      <c r="E188" s="57"/>
      <c r="F188" s="58"/>
      <c r="G188" s="58"/>
      <c r="H188" s="59" t="str">
        <f t="shared" si="10"/>
        <v/>
      </c>
      <c r="I188" s="60" t="str">
        <f t="shared" si="11"/>
        <v/>
      </c>
    </row>
    <row r="189" spans="1:9" ht="20" customHeight="1" x14ac:dyDescent="0.35">
      <c r="A189" s="39"/>
      <c r="B189" s="61"/>
      <c r="C189" s="61"/>
      <c r="D189" s="61"/>
      <c r="E189" s="61"/>
      <c r="F189" s="58"/>
      <c r="G189" s="58"/>
      <c r="H189" s="59" t="str">
        <f t="shared" si="10"/>
        <v/>
      </c>
      <c r="I189" s="62" t="str">
        <f t="shared" si="11"/>
        <v/>
      </c>
    </row>
    <row r="190" spans="1:9" ht="20" customHeight="1" x14ac:dyDescent="0.35">
      <c r="A190" s="39"/>
      <c r="B190" s="57"/>
      <c r="C190" s="57"/>
      <c r="D190" s="57"/>
      <c r="E190" s="57"/>
      <c r="F190" s="58"/>
      <c r="G190" s="58"/>
      <c r="H190" s="59" t="str">
        <f t="shared" si="10"/>
        <v/>
      </c>
      <c r="I190" s="60" t="str">
        <f t="shared" si="11"/>
        <v/>
      </c>
    </row>
    <row r="191" spans="1:9" ht="20" customHeight="1" x14ac:dyDescent="0.35">
      <c r="A191" s="39"/>
      <c r="B191" s="61"/>
      <c r="C191" s="61"/>
      <c r="D191" s="61"/>
      <c r="E191" s="61"/>
      <c r="F191" s="58"/>
      <c r="G191" s="58"/>
      <c r="H191" s="59" t="str">
        <f t="shared" si="10"/>
        <v/>
      </c>
      <c r="I191" s="62" t="str">
        <f t="shared" si="11"/>
        <v/>
      </c>
    </row>
    <row r="192" spans="1:9" ht="20" customHeight="1" x14ac:dyDescent="0.35">
      <c r="A192" s="39"/>
      <c r="B192" s="57"/>
      <c r="C192" s="57"/>
      <c r="D192" s="57"/>
      <c r="E192" s="57"/>
      <c r="F192" s="58"/>
      <c r="G192" s="58"/>
      <c r="H192" s="59" t="str">
        <f t="shared" si="10"/>
        <v/>
      </c>
      <c r="I192" s="60" t="str">
        <f t="shared" si="11"/>
        <v/>
      </c>
    </row>
    <row r="193" spans="1:9" ht="20" customHeight="1" x14ac:dyDescent="0.35">
      <c r="A193" s="39"/>
      <c r="B193" s="61"/>
      <c r="C193" s="61"/>
      <c r="D193" s="61"/>
      <c r="E193" s="61"/>
      <c r="F193" s="58"/>
      <c r="G193" s="58"/>
      <c r="H193" s="59" t="str">
        <f t="shared" si="10"/>
        <v/>
      </c>
      <c r="I193" s="62" t="str">
        <f t="shared" si="11"/>
        <v/>
      </c>
    </row>
    <row r="194" spans="1:9" ht="20" customHeight="1" x14ac:dyDescent="0.35">
      <c r="A194" s="39"/>
      <c r="B194" s="57"/>
      <c r="C194" s="57"/>
      <c r="D194" s="57"/>
      <c r="E194" s="57"/>
      <c r="F194" s="58"/>
      <c r="G194" s="58"/>
      <c r="H194" s="59" t="str">
        <f t="shared" si="10"/>
        <v/>
      </c>
      <c r="I194" s="60" t="str">
        <f t="shared" si="11"/>
        <v/>
      </c>
    </row>
    <row r="195" spans="1:9" ht="20" customHeight="1" x14ac:dyDescent="0.35">
      <c r="A195" s="39"/>
      <c r="B195" s="61"/>
      <c r="C195" s="61"/>
      <c r="D195" s="61"/>
      <c r="E195" s="61"/>
      <c r="F195" s="58"/>
      <c r="G195" s="58"/>
      <c r="H195" s="59" t="str">
        <f t="shared" si="10"/>
        <v/>
      </c>
      <c r="I195" s="62" t="str">
        <f t="shared" si="11"/>
        <v/>
      </c>
    </row>
    <row r="196" spans="1:9" ht="20" customHeight="1" x14ac:dyDescent="0.35">
      <c r="A196" s="39"/>
      <c r="B196" s="57"/>
      <c r="C196" s="57"/>
      <c r="D196" s="57"/>
      <c r="E196" s="57"/>
      <c r="F196" s="58"/>
      <c r="G196" s="58"/>
      <c r="H196" s="59" t="str">
        <f t="shared" si="10"/>
        <v/>
      </c>
      <c r="I196" s="60" t="str">
        <f t="shared" si="11"/>
        <v/>
      </c>
    </row>
    <row r="197" spans="1:9" ht="20" customHeight="1" x14ac:dyDescent="0.35">
      <c r="A197" s="39"/>
      <c r="B197" s="61"/>
      <c r="C197" s="61"/>
      <c r="D197" s="61"/>
      <c r="E197" s="61"/>
      <c r="F197" s="58"/>
      <c r="G197" s="58"/>
      <c r="H197" s="59" t="str">
        <f t="shared" si="10"/>
        <v/>
      </c>
      <c r="I197" s="62" t="str">
        <f t="shared" si="11"/>
        <v/>
      </c>
    </row>
    <row r="198" spans="1:9" ht="20" customHeight="1" x14ac:dyDescent="0.35">
      <c r="A198" s="39"/>
      <c r="B198" s="57"/>
      <c r="C198" s="57"/>
      <c r="D198" s="57"/>
      <c r="E198" s="57"/>
      <c r="F198" s="58"/>
      <c r="G198" s="58"/>
      <c r="H198" s="59" t="str">
        <f t="shared" ref="H198:H229" si="12">IF(F198+G198=0,"",F198+G198)</f>
        <v/>
      </c>
      <c r="I198" s="60" t="str">
        <f t="shared" si="11"/>
        <v/>
      </c>
    </row>
    <row r="199" spans="1:9" ht="20" customHeight="1" x14ac:dyDescent="0.35">
      <c r="A199" s="39"/>
      <c r="B199" s="61"/>
      <c r="C199" s="61"/>
      <c r="D199" s="61"/>
      <c r="E199" s="61"/>
      <c r="F199" s="58"/>
      <c r="G199" s="58"/>
      <c r="H199" s="59" t="str">
        <f t="shared" si="12"/>
        <v/>
      </c>
      <c r="I199" s="62" t="str">
        <f t="shared" ref="I199:I230" si="13">IF(H199="","",IF(I198="",H199,I198+H199))</f>
        <v/>
      </c>
    </row>
    <row r="200" spans="1:9" ht="20" customHeight="1" x14ac:dyDescent="0.35">
      <c r="A200" s="39"/>
      <c r="B200" s="57"/>
      <c r="C200" s="57"/>
      <c r="D200" s="57"/>
      <c r="E200" s="57"/>
      <c r="F200" s="58"/>
      <c r="G200" s="58"/>
      <c r="H200" s="59" t="str">
        <f t="shared" si="12"/>
        <v/>
      </c>
      <c r="I200" s="60" t="str">
        <f t="shared" si="13"/>
        <v/>
      </c>
    </row>
    <row r="201" spans="1:9" ht="20" customHeight="1" x14ac:dyDescent="0.35">
      <c r="A201" s="39"/>
      <c r="B201" s="61"/>
      <c r="C201" s="61"/>
      <c r="D201" s="61"/>
      <c r="E201" s="61"/>
      <c r="F201" s="58"/>
      <c r="G201" s="58"/>
      <c r="H201" s="59" t="str">
        <f t="shared" si="12"/>
        <v/>
      </c>
      <c r="I201" s="62" t="str">
        <f t="shared" si="13"/>
        <v/>
      </c>
    </row>
    <row r="202" spans="1:9" ht="20" customHeight="1" x14ac:dyDescent="0.35">
      <c r="A202" s="39"/>
      <c r="B202" s="57"/>
      <c r="C202" s="57"/>
      <c r="D202" s="57"/>
      <c r="E202" s="57"/>
      <c r="F202" s="58"/>
      <c r="G202" s="58"/>
      <c r="H202" s="59" t="str">
        <f t="shared" si="12"/>
        <v/>
      </c>
      <c r="I202" s="60" t="str">
        <f t="shared" si="13"/>
        <v/>
      </c>
    </row>
    <row r="203" spans="1:9" ht="20" customHeight="1" x14ac:dyDescent="0.35">
      <c r="A203" s="39"/>
      <c r="B203" s="61"/>
      <c r="C203" s="61"/>
      <c r="D203" s="61"/>
      <c r="E203" s="61"/>
      <c r="F203" s="58"/>
      <c r="G203" s="58"/>
      <c r="H203" s="59" t="str">
        <f t="shared" si="12"/>
        <v/>
      </c>
      <c r="I203" s="62" t="str">
        <f t="shared" si="13"/>
        <v/>
      </c>
    </row>
    <row r="204" spans="1:9" ht="20" customHeight="1" x14ac:dyDescent="0.35">
      <c r="A204" s="39"/>
      <c r="B204" s="57"/>
      <c r="C204" s="57"/>
      <c r="D204" s="57"/>
      <c r="E204" s="57"/>
      <c r="F204" s="58"/>
      <c r="G204" s="58"/>
      <c r="H204" s="59" t="str">
        <f t="shared" si="12"/>
        <v/>
      </c>
      <c r="I204" s="60" t="str">
        <f t="shared" si="13"/>
        <v/>
      </c>
    </row>
    <row r="205" spans="1:9" ht="20" customHeight="1" x14ac:dyDescent="0.35">
      <c r="A205" s="39"/>
      <c r="B205" s="61"/>
      <c r="C205" s="61"/>
      <c r="D205" s="61"/>
      <c r="E205" s="61"/>
      <c r="F205" s="58"/>
      <c r="G205" s="58"/>
      <c r="H205" s="59" t="str">
        <f t="shared" si="12"/>
        <v/>
      </c>
      <c r="I205" s="62" t="str">
        <f t="shared" si="13"/>
        <v/>
      </c>
    </row>
  </sheetData>
  <autoFilter ref="A5:I205" xr:uid="{00000000-0009-0000-0000-000006000000}"/>
  <mergeCells count="5">
    <mergeCell ref="A2:I2"/>
    <mergeCell ref="A3:I3"/>
    <mergeCell ref="A1:B1"/>
    <mergeCell ref="A4:I4"/>
    <mergeCell ref="D1:I1"/>
  </mergeCells>
  <conditionalFormatting sqref="A6:I205">
    <cfRule type="expression" dxfId="0" priority="1">
      <formula>AND($C$1&lt;&gt;"",OR(ISNUMBER(SEARCH($C$1,$D6)),ISNUMBER(SEARCH($C$1,$E6)),ISNUMBER(SEARCH($C$1,$B6))))</formula>
    </cfRule>
  </conditionalFormatting>
  <dataValidations count="1">
    <dataValidation type="decimal" operator="greaterThanOrEqual" allowBlank="1" errorTitle="Invalid Amount" error="Amount must be 0 or greater. Use positive numbers only." sqref="F6:G205" xr:uid="{00000000-0002-0000-0600-000003000000}">
      <formula1>0</formula1>
    </dataValidation>
  </dataValidations>
  <pageMargins left="0.75" right="0.75" top="1" bottom="1" header="0.5" footer="0.5"/>
  <pageSetup fitToHeight="0" orientation="landscape"/>
  <extLst>
    <ext xmlns:x14="http://schemas.microsoft.com/office/spreadsheetml/2009/9/main" uri="{CCE6A557-97BC-4b89-ADB6-D9C93CAAB3DF}">
      <x14:dataValidations xmlns:xm="http://schemas.microsoft.com/office/excel/2006/main" count="3">
        <x14:dataValidation type="list" allowBlank="1" errorTitle="Invalid Type" error="Select a payment type or add it in Settings → Payment Types." xr:uid="{00000000-0002-0000-0600-000000000000}">
          <x14:formula1>
            <xm:f>Settings!$B$5:$B$34</xm:f>
          </x14:formula1>
          <xm:sqref>B6:B205</xm:sqref>
        </x14:dataValidation>
        <x14:dataValidation type="list" allowBlank="1" errorTitle="Invalid Service" error="Select a service or add it in Settings → Transfer Services." xr:uid="{00000000-0002-0000-0600-000001000000}">
          <x14:formula1>
            <xm:f>Settings!$D$5:$D$34</xm:f>
          </x14:formula1>
          <xm:sqref>C6:C205</xm:sqref>
        </x14:dataValidation>
        <x14:dataValidation type="list" allowBlank="1" errorTitle="Invalid Recipient" error="Select a recipient or add them in Settings → Recipients / Given To." xr:uid="{00000000-0002-0000-0600-000002000000}">
          <x14:formula1>
            <xm:f>Settings!$F$5:$F$34</xm:f>
          </x14:formula1>
          <xm:sqref>D6:D205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175"/>
  <sheetViews>
    <sheetView showGridLines="0" workbookViewId="0">
      <pane ySplit="10" topLeftCell="A11" activePane="bottomLeft" state="frozen"/>
      <selection pane="bottomLeft"/>
    </sheetView>
  </sheetViews>
  <sheetFormatPr defaultRowHeight="14.5" x14ac:dyDescent="0.35"/>
  <cols>
    <col min="1" max="1" width="16" customWidth="1"/>
    <col min="2" max="2" width="14" customWidth="1"/>
    <col min="3" max="3" width="18" customWidth="1"/>
    <col min="4" max="4" width="8" customWidth="1"/>
    <col min="5" max="5" width="12" customWidth="1"/>
    <col min="6" max="6" width="8" customWidth="1"/>
    <col min="7" max="7" width="16" customWidth="1"/>
    <col min="8" max="8" width="14" customWidth="1"/>
    <col min="9" max="9" width="10" customWidth="1"/>
    <col min="11" max="11" width="14" customWidth="1"/>
    <col min="13" max="13" width="10" customWidth="1"/>
  </cols>
  <sheetData>
    <row r="1" spans="1:13" ht="30" customHeight="1" x14ac:dyDescent="0.35">
      <c r="A1" s="85" t="s">
        <v>233</v>
      </c>
      <c r="B1" s="76"/>
      <c r="C1" s="76"/>
      <c r="D1" s="76"/>
      <c r="E1" s="76"/>
      <c r="F1" s="76"/>
      <c r="G1" s="76"/>
      <c r="H1" s="76"/>
      <c r="I1" s="77"/>
      <c r="J1" s="1"/>
      <c r="K1" s="1"/>
      <c r="L1" s="1"/>
      <c r="M1" s="1"/>
    </row>
    <row r="2" spans="1:13" ht="26" customHeight="1" x14ac:dyDescent="0.35">
      <c r="A2" s="91" t="s">
        <v>234</v>
      </c>
      <c r="B2" s="76"/>
      <c r="C2" s="76"/>
      <c r="D2" s="76"/>
      <c r="E2" s="76"/>
      <c r="F2" s="76"/>
      <c r="G2" s="76"/>
      <c r="H2" s="76"/>
      <c r="I2" s="77"/>
      <c r="J2" s="1"/>
      <c r="K2" s="1"/>
      <c r="L2" s="1"/>
      <c r="M2" s="1"/>
    </row>
    <row r="3" spans="1:13" ht="16" customHeight="1" x14ac:dyDescent="0.35">
      <c r="A3" s="1"/>
      <c r="B3" s="1"/>
      <c r="C3" s="1"/>
      <c r="D3" s="1"/>
      <c r="E3" s="1"/>
      <c r="F3" s="1"/>
      <c r="G3" s="1"/>
      <c r="H3" s="1"/>
      <c r="I3" s="1"/>
      <c r="J3" s="1"/>
      <c r="K3" s="63" t="s">
        <v>235</v>
      </c>
      <c r="L3" s="1"/>
      <c r="M3" s="1"/>
    </row>
    <row r="4" spans="1:13" ht="30" customHeight="1" x14ac:dyDescent="0.35">
      <c r="A4" s="122" t="s">
        <v>236</v>
      </c>
      <c r="B4" s="77"/>
      <c r="C4" s="64"/>
      <c r="D4" s="78" t="s">
        <v>237</v>
      </c>
      <c r="E4" s="77"/>
      <c r="F4" s="120" t="str">
        <f>IF($C$4="","—",IF($C$5="All Years",SUMIF(Ledger!$D$6:$D$205,$C$4,Ledger!$H$6:$H$205),SUMPRODUCT((Ledger!$D$6:$D$205=$C$4)*(YEAR(Ledger!$A$6:$A$205)=VALUE($C$5))*Ledger!$H$6:$H$205)))</f>
        <v>—</v>
      </c>
      <c r="G4" s="87"/>
      <c r="H4" s="2" t="s">
        <v>238</v>
      </c>
      <c r="I4" s="65" t="str">
        <f>IF($C$4="","—",IF($C$5="All Years",COUNTIF(Ledger!$D$6:$D$205,$C$4),SUMPRODUCT((Ledger!$D$6:$D$205=$C$4)*(YEAR(Ledger!$A$6:$A$205)=VALUE($C$5)))))</f>
        <v>—</v>
      </c>
      <c r="J4" s="1"/>
      <c r="K4" s="1" t="str">
        <f>IFERROR(INDEX(Ledger!$D$6:$D$205,MATCH(0,COUNTIF($K$3:K3,Ledger!$D$6:$D$205),0)),"")</f>
        <v/>
      </c>
      <c r="L4" s="1"/>
      <c r="M4" s="1"/>
    </row>
    <row r="5" spans="1:13" ht="28" customHeight="1" x14ac:dyDescent="0.35">
      <c r="A5" s="122" t="s">
        <v>239</v>
      </c>
      <c r="B5" s="77"/>
      <c r="C5" s="66" t="s">
        <v>240</v>
      </c>
      <c r="D5" s="119" t="s">
        <v>241</v>
      </c>
      <c r="E5" s="76"/>
      <c r="F5" s="76"/>
      <c r="G5" s="76"/>
      <c r="H5" s="76"/>
      <c r="I5" s="77"/>
      <c r="J5" s="1"/>
      <c r="K5" s="1" t="str">
        <f>IFERROR(INDEX(Ledger!$D$6:$D$205,MATCH(0,COUNTIF($K$3:K4,Ledger!$D$6:$D$205),0)),"")</f>
        <v/>
      </c>
      <c r="L5" s="1"/>
      <c r="M5" s="1" t="s">
        <v>240</v>
      </c>
    </row>
    <row r="6" spans="1:13" ht="24" customHeight="1" x14ac:dyDescent="0.35">
      <c r="A6" s="123" t="s">
        <v>242</v>
      </c>
      <c r="B6" s="76"/>
      <c r="C6" s="76"/>
      <c r="D6" s="76"/>
      <c r="E6" s="76"/>
      <c r="F6" s="76"/>
      <c r="G6" s="76"/>
      <c r="H6" s="76"/>
      <c r="I6" s="77"/>
      <c r="J6" s="1"/>
      <c r="K6" s="1" t="str">
        <f>IFERROR(INDEX(Ledger!$D$6:$D$205,MATCH(0,COUNTIF($K$3:K5,Ledger!$D$6:$D$205),0)),"")</f>
        <v/>
      </c>
      <c r="L6" s="1"/>
      <c r="M6" s="1"/>
    </row>
    <row r="7" spans="1:13" ht="22" customHeight="1" x14ac:dyDescent="0.35">
      <c r="A7" s="92" t="s">
        <v>225</v>
      </c>
      <c r="B7" s="76"/>
      <c r="C7" s="76"/>
      <c r="D7" s="76"/>
      <c r="E7" s="77"/>
      <c r="F7" s="92" t="s">
        <v>243</v>
      </c>
      <c r="G7" s="76"/>
      <c r="H7" s="76"/>
      <c r="I7" s="77"/>
      <c r="J7" s="1"/>
      <c r="K7" s="1" t="str">
        <f>IFERROR(INDEX(Ledger!$D$6:$D$205,MATCH(0,COUNTIF($K$3:K6,Ledger!$D$6:$D$205),0)),"")</f>
        <v/>
      </c>
      <c r="L7" s="1"/>
      <c r="M7" s="1"/>
    </row>
    <row r="8" spans="1:13" ht="20" customHeight="1" x14ac:dyDescent="0.35">
      <c r="A8" s="88" t="str">
        <f>IF(Settings!$B$5="","",Settings!$B$5)</f>
        <v>Zakat</v>
      </c>
      <c r="B8" s="76"/>
      <c r="C8" s="76"/>
      <c r="D8" s="76"/>
      <c r="E8" s="77"/>
      <c r="F8" s="117" t="str">
        <f>IF(Settings!$B$5="","",IF($C$4="","—",SUMPRODUCT((Ledger!$D$6:$D$205=$C$4)*(Ledger!$B$6:$B$205=Settings!$B$5)*IF($C$5="All Years",1,YEAR(Ledger!$A$6:$A$205)=IF($C$5="All Years",0,VALUE($C$5)))*Ledger!$H$6:$H$205)))</f>
        <v>—</v>
      </c>
      <c r="G8" s="76"/>
      <c r="H8" s="76"/>
      <c r="I8" s="77"/>
      <c r="J8" s="1"/>
      <c r="K8" s="1" t="str">
        <f>IFERROR(INDEX(Ledger!$D$6:$D$205,MATCH(0,COUNTIF($K$3:K7,Ledger!$D$6:$D$205),0)),"")</f>
        <v/>
      </c>
      <c r="L8" s="1"/>
      <c r="M8" s="1"/>
    </row>
    <row r="9" spans="1:13" ht="20" customHeight="1" x14ac:dyDescent="0.35">
      <c r="A9" s="114" t="str">
        <f>IF(Settings!$B$6="","",Settings!$B$6)</f>
        <v>Sadaqah</v>
      </c>
      <c r="B9" s="76"/>
      <c r="C9" s="76"/>
      <c r="D9" s="76"/>
      <c r="E9" s="77"/>
      <c r="F9" s="111" t="str">
        <f>IF(Settings!$B$6="","",IF($C$4="","—",SUMPRODUCT((Ledger!$D$6:$D$205=$C$4)*(Ledger!$B$6:$B$205=Settings!$B$6)*IF($C$5="All Years",1,YEAR(Ledger!$A$6:$A$205)=IF($C$5="All Years",0,VALUE($C$5)))*Ledger!$H$6:$H$205)))</f>
        <v>—</v>
      </c>
      <c r="G9" s="76"/>
      <c r="H9" s="76"/>
      <c r="I9" s="77"/>
      <c r="J9" s="1"/>
      <c r="K9" s="1" t="str">
        <f>IFERROR(INDEX(Ledger!$D$6:$D$205,MATCH(0,COUNTIF($K$3:K8,Ledger!$D$6:$D$205),0)),"")</f>
        <v/>
      </c>
      <c r="L9" s="1"/>
      <c r="M9" s="1"/>
    </row>
    <row r="10" spans="1:13" ht="20" customHeight="1" x14ac:dyDescent="0.35">
      <c r="A10" s="88" t="str">
        <f>IF(Settings!$B$7="","",Settings!$B$7)</f>
        <v>Fitrana</v>
      </c>
      <c r="B10" s="76"/>
      <c r="C10" s="76"/>
      <c r="D10" s="76"/>
      <c r="E10" s="77"/>
      <c r="F10" s="117" t="str">
        <f>IF(Settings!$B$7="","",IF($C$4="","—",SUMPRODUCT((Ledger!$D$6:$D$205=$C$4)*(Ledger!$B$6:$B$205=Settings!$B$7)*IF($C$5="All Years",1,YEAR(Ledger!$A$6:$A$205)=IF($C$5="All Years",0,VALUE($C$5)))*Ledger!$H$6:$H$205)))</f>
        <v>—</v>
      </c>
      <c r="G10" s="76"/>
      <c r="H10" s="76"/>
      <c r="I10" s="77"/>
      <c r="J10" s="1"/>
      <c r="K10" s="1" t="str">
        <f>IFERROR(INDEX(Ledger!$D$6:$D$205,MATCH(0,COUNTIF($K$3:K9,Ledger!$D$6:$D$205),0)),"")</f>
        <v/>
      </c>
      <c r="L10" s="1"/>
      <c r="M10" s="1"/>
    </row>
    <row r="11" spans="1:13" ht="20" customHeight="1" x14ac:dyDescent="0.35">
      <c r="A11" s="114" t="str">
        <f>IF(Settings!$B$8="","",Settings!$B$8)</f>
        <v>Qurbani</v>
      </c>
      <c r="B11" s="76"/>
      <c r="C11" s="76"/>
      <c r="D11" s="76"/>
      <c r="E11" s="77"/>
      <c r="F11" s="111" t="str">
        <f>IF(Settings!$B$8="","",IF($C$4="","—",SUMPRODUCT((Ledger!$D$6:$D$205=$C$4)*(Ledger!$B$6:$B$205=Settings!$B$8)*IF($C$5="All Years",1,YEAR(Ledger!$A$6:$A$205)=IF($C$5="All Years",0,VALUE($C$5)))*Ledger!$H$6:$H$205)))</f>
        <v>—</v>
      </c>
      <c r="G11" s="76"/>
      <c r="H11" s="76"/>
      <c r="I11" s="77"/>
      <c r="J11" s="1"/>
      <c r="K11" s="1" t="str">
        <f>IFERROR(INDEX(Ledger!$D$6:$D$205,MATCH(0,COUNTIF($K$3:K10,Ledger!$D$6:$D$205),0)),"")</f>
        <v/>
      </c>
      <c r="L11" s="1"/>
      <c r="M11" s="1"/>
    </row>
    <row r="12" spans="1:13" ht="20" customHeight="1" x14ac:dyDescent="0.35">
      <c r="A12" s="88" t="str">
        <f>IF(Settings!$B$9="","",Settings!$B$9)</f>
        <v/>
      </c>
      <c r="B12" s="76"/>
      <c r="C12" s="76"/>
      <c r="D12" s="76"/>
      <c r="E12" s="77"/>
      <c r="F12" s="117" t="str">
        <f>IF(Settings!$B$9="","",IF($C$4="","—",SUMPRODUCT((Ledger!$D$6:$D$205=$C$4)*(Ledger!$B$6:$B$205=Settings!$B$9)*IF($C$5="All Years",1,YEAR(Ledger!$A$6:$A$205)=IF($C$5="All Years",0,VALUE($C$5)))*Ledger!$H$6:$H$205)))</f>
        <v/>
      </c>
      <c r="G12" s="76"/>
      <c r="H12" s="76"/>
      <c r="I12" s="77"/>
      <c r="J12" s="1"/>
      <c r="K12" s="1" t="str">
        <f>IFERROR(INDEX(Ledger!$D$6:$D$205,MATCH(0,COUNTIF($K$3:K11,Ledger!$D$6:$D$205),0)),"")</f>
        <v/>
      </c>
      <c r="L12" s="1"/>
      <c r="M12" s="1"/>
    </row>
    <row r="13" spans="1:13" ht="20" customHeight="1" x14ac:dyDescent="0.35">
      <c r="A13" s="114" t="str">
        <f>IF(Settings!$B$10="","",Settings!$B$10)</f>
        <v/>
      </c>
      <c r="B13" s="76"/>
      <c r="C13" s="76"/>
      <c r="D13" s="76"/>
      <c r="E13" s="77"/>
      <c r="F13" s="111" t="str">
        <f>IF(Settings!$B$10="","",IF($C$4="","—",SUMPRODUCT((Ledger!$D$6:$D$205=$C$4)*(Ledger!$B$6:$B$205=Settings!$B$10)*IF($C$5="All Years",1,YEAR(Ledger!$A$6:$A$205)=IF($C$5="All Years",0,VALUE($C$5)))*Ledger!$H$6:$H$205)))</f>
        <v/>
      </c>
      <c r="G13" s="76"/>
      <c r="H13" s="76"/>
      <c r="I13" s="77"/>
      <c r="J13" s="1"/>
      <c r="K13" s="1" t="str">
        <f>IFERROR(INDEX(Ledger!$D$6:$D$205,MATCH(0,COUNTIF($K$3:K12,Ledger!$D$6:$D$205),0)),"")</f>
        <v/>
      </c>
      <c r="L13" s="1"/>
      <c r="M13" s="1"/>
    </row>
    <row r="14" spans="1:13" ht="20" customHeight="1" x14ac:dyDescent="0.35">
      <c r="A14" s="88" t="str">
        <f>IF(Settings!$B$11="","",Settings!$B$11)</f>
        <v/>
      </c>
      <c r="B14" s="76"/>
      <c r="C14" s="76"/>
      <c r="D14" s="76"/>
      <c r="E14" s="77"/>
      <c r="F14" s="117" t="str">
        <f>IF(Settings!$B$11="","",IF($C$4="","—",SUMPRODUCT((Ledger!$D$6:$D$205=$C$4)*(Ledger!$B$6:$B$205=Settings!$B$11)*IF($C$5="All Years",1,YEAR(Ledger!$A$6:$A$205)=IF($C$5="All Years",0,VALUE($C$5)))*Ledger!$H$6:$H$205)))</f>
        <v/>
      </c>
      <c r="G14" s="76"/>
      <c r="H14" s="76"/>
      <c r="I14" s="77"/>
      <c r="J14" s="1"/>
      <c r="K14" s="1" t="str">
        <f>IFERROR(INDEX(Ledger!$D$6:$D$205,MATCH(0,COUNTIF($K$3:K13,Ledger!$D$6:$D$205),0)),"")</f>
        <v/>
      </c>
      <c r="L14" s="1"/>
      <c r="M14" s="1"/>
    </row>
    <row r="15" spans="1:13" ht="20" customHeight="1" x14ac:dyDescent="0.35">
      <c r="A15" s="114" t="str">
        <f>IF(Settings!$B$12="","",Settings!$B$12)</f>
        <v/>
      </c>
      <c r="B15" s="76"/>
      <c r="C15" s="76"/>
      <c r="D15" s="76"/>
      <c r="E15" s="77"/>
      <c r="F15" s="111" t="str">
        <f>IF(Settings!$B$12="","",IF($C$4="","—",SUMPRODUCT((Ledger!$D$6:$D$205=$C$4)*(Ledger!$B$6:$B$205=Settings!$B$12)*IF($C$5="All Years",1,YEAR(Ledger!$A$6:$A$205)=IF($C$5="All Years",0,VALUE($C$5)))*Ledger!$H$6:$H$205)))</f>
        <v/>
      </c>
      <c r="G15" s="76"/>
      <c r="H15" s="76"/>
      <c r="I15" s="77"/>
      <c r="J15" s="1"/>
      <c r="K15" s="1" t="str">
        <f>IFERROR(INDEX(Ledger!$D$6:$D$205,MATCH(0,COUNTIF($K$3:K14,Ledger!$D$6:$D$205),0)),"")</f>
        <v/>
      </c>
      <c r="L15" s="1"/>
      <c r="M15" s="1"/>
    </row>
    <row r="16" spans="1:13" ht="20" customHeight="1" x14ac:dyDescent="0.35">
      <c r="A16" s="88" t="str">
        <f>IF(Settings!$B$13="","",Settings!$B$13)</f>
        <v/>
      </c>
      <c r="B16" s="76"/>
      <c r="C16" s="76"/>
      <c r="D16" s="76"/>
      <c r="E16" s="77"/>
      <c r="F16" s="117" t="str">
        <f>IF(Settings!$B$13="","",IF($C$4="","—",SUMPRODUCT((Ledger!$D$6:$D$205=$C$4)*(Ledger!$B$6:$B$205=Settings!$B$13)*IF($C$5="All Years",1,YEAR(Ledger!$A$6:$A$205)=IF($C$5="All Years",0,VALUE($C$5)))*Ledger!$H$6:$H$205)))</f>
        <v/>
      </c>
      <c r="G16" s="76"/>
      <c r="H16" s="76"/>
      <c r="I16" s="77"/>
      <c r="J16" s="1"/>
      <c r="K16" s="1" t="str">
        <f>IFERROR(INDEX(Ledger!$D$6:$D$205,MATCH(0,COUNTIF($K$3:K15,Ledger!$D$6:$D$205),0)),"")</f>
        <v/>
      </c>
      <c r="L16" s="1"/>
      <c r="M16" s="1"/>
    </row>
    <row r="17" spans="1:13" ht="20" customHeight="1" x14ac:dyDescent="0.35">
      <c r="A17" s="114" t="str">
        <f>IF(Settings!$B$14="","",Settings!$B$14)</f>
        <v/>
      </c>
      <c r="B17" s="76"/>
      <c r="C17" s="76"/>
      <c r="D17" s="76"/>
      <c r="E17" s="77"/>
      <c r="F17" s="111" t="str">
        <f>IF(Settings!$B$14="","",IF($C$4="","—",SUMPRODUCT((Ledger!$D$6:$D$205=$C$4)*(Ledger!$B$6:$B$205=Settings!$B$14)*IF($C$5="All Years",1,YEAR(Ledger!$A$6:$A$205)=IF($C$5="All Years",0,VALUE($C$5)))*Ledger!$H$6:$H$205)))</f>
        <v/>
      </c>
      <c r="G17" s="76"/>
      <c r="H17" s="76"/>
      <c r="I17" s="77"/>
      <c r="J17" s="1"/>
      <c r="K17" s="1" t="str">
        <f>IFERROR(INDEX(Ledger!$D$6:$D$205,MATCH(0,COUNTIF($K$3:K16,Ledger!$D$6:$D$205),0)),"")</f>
        <v/>
      </c>
      <c r="L17" s="1"/>
      <c r="M17" s="1"/>
    </row>
    <row r="18" spans="1:13" ht="20" customHeight="1" x14ac:dyDescent="0.35">
      <c r="A18" s="88" t="str">
        <f>IF(Settings!$B$15="","",Settings!$B$15)</f>
        <v/>
      </c>
      <c r="B18" s="76"/>
      <c r="C18" s="76"/>
      <c r="D18" s="76"/>
      <c r="E18" s="77"/>
      <c r="F18" s="117" t="str">
        <f>IF(Settings!$B$15="","",IF($C$4="","—",SUMPRODUCT((Ledger!$D$6:$D$205=$C$4)*(Ledger!$B$6:$B$205=Settings!$B$15)*IF($C$5="All Years",1,YEAR(Ledger!$A$6:$A$205)=IF($C$5="All Years",0,VALUE($C$5)))*Ledger!$H$6:$H$205)))</f>
        <v/>
      </c>
      <c r="G18" s="76"/>
      <c r="H18" s="76"/>
      <c r="I18" s="77"/>
      <c r="J18" s="1"/>
      <c r="K18" s="1" t="str">
        <f>IFERROR(INDEX(Ledger!$D$6:$D$205,MATCH(0,COUNTIF($K$3:K17,Ledger!$D$6:$D$205),0)),"")</f>
        <v/>
      </c>
      <c r="L18" s="1"/>
      <c r="M18" s="1"/>
    </row>
    <row r="19" spans="1:13" ht="20" customHeight="1" x14ac:dyDescent="0.35">
      <c r="A19" s="114" t="str">
        <f>IF(Settings!$B$16="","",Settings!$B$16)</f>
        <v/>
      </c>
      <c r="B19" s="76"/>
      <c r="C19" s="76"/>
      <c r="D19" s="76"/>
      <c r="E19" s="77"/>
      <c r="F19" s="111" t="str">
        <f>IF(Settings!$B$16="","",IF($C$4="","—",SUMPRODUCT((Ledger!$D$6:$D$205=$C$4)*(Ledger!$B$6:$B$205=Settings!$B$16)*IF($C$5="All Years",1,YEAR(Ledger!$A$6:$A$205)=IF($C$5="All Years",0,VALUE($C$5)))*Ledger!$H$6:$H$205)))</f>
        <v/>
      </c>
      <c r="G19" s="76"/>
      <c r="H19" s="76"/>
      <c r="I19" s="77"/>
      <c r="J19" s="1"/>
      <c r="K19" s="1" t="str">
        <f>IFERROR(INDEX(Ledger!$D$6:$D$205,MATCH(0,COUNTIF($K$3:K18,Ledger!$D$6:$D$205),0)),"")</f>
        <v/>
      </c>
      <c r="L19" s="1"/>
      <c r="M19" s="1"/>
    </row>
    <row r="20" spans="1:13" ht="20" customHeight="1" x14ac:dyDescent="0.35">
      <c r="A20" s="88" t="str">
        <f>IF(Settings!$B$17="","",Settings!$B$17)</f>
        <v/>
      </c>
      <c r="B20" s="76"/>
      <c r="C20" s="76"/>
      <c r="D20" s="76"/>
      <c r="E20" s="77"/>
      <c r="F20" s="117" t="str">
        <f>IF(Settings!$B$17="","",IF($C$4="","—",SUMPRODUCT((Ledger!$D$6:$D$205=$C$4)*(Ledger!$B$6:$B$205=Settings!$B$17)*IF($C$5="All Years",1,YEAR(Ledger!$A$6:$A$205)=IF($C$5="All Years",0,VALUE($C$5)))*Ledger!$H$6:$H$205)))</f>
        <v/>
      </c>
      <c r="G20" s="76"/>
      <c r="H20" s="76"/>
      <c r="I20" s="77"/>
      <c r="J20" s="1"/>
      <c r="K20" s="1" t="str">
        <f>IFERROR(INDEX(Ledger!$D$6:$D$205,MATCH(0,COUNTIF($K$3:K19,Ledger!$D$6:$D$205),0)),"")</f>
        <v/>
      </c>
      <c r="L20" s="1"/>
      <c r="M20" s="1"/>
    </row>
    <row r="21" spans="1:13" ht="20" customHeight="1" x14ac:dyDescent="0.35">
      <c r="A21" s="114" t="str">
        <f>IF(Settings!$B$18="","",Settings!$B$18)</f>
        <v/>
      </c>
      <c r="B21" s="76"/>
      <c r="C21" s="76"/>
      <c r="D21" s="76"/>
      <c r="E21" s="77"/>
      <c r="F21" s="111" t="str">
        <f>IF(Settings!$B$18="","",IF($C$4="","—",SUMPRODUCT((Ledger!$D$6:$D$205=$C$4)*(Ledger!$B$6:$B$205=Settings!$B$18)*IF($C$5="All Years",1,YEAR(Ledger!$A$6:$A$205)=IF($C$5="All Years",0,VALUE($C$5)))*Ledger!$H$6:$H$205)))</f>
        <v/>
      </c>
      <c r="G21" s="76"/>
      <c r="H21" s="76"/>
      <c r="I21" s="77"/>
      <c r="J21" s="1"/>
      <c r="K21" s="1" t="str">
        <f>IFERROR(INDEX(Ledger!$D$6:$D$205,MATCH(0,COUNTIF($K$3:K20,Ledger!$D$6:$D$205),0)),"")</f>
        <v/>
      </c>
      <c r="L21" s="1"/>
      <c r="M21" s="1"/>
    </row>
    <row r="22" spans="1:13" ht="20" customHeight="1" x14ac:dyDescent="0.35">
      <c r="A22" s="88" t="str">
        <f>IF(Settings!$B$19="","",Settings!$B$19)</f>
        <v/>
      </c>
      <c r="B22" s="76"/>
      <c r="C22" s="76"/>
      <c r="D22" s="76"/>
      <c r="E22" s="77"/>
      <c r="F22" s="117" t="str">
        <f>IF(Settings!$B$19="","",IF($C$4="","—",SUMPRODUCT((Ledger!$D$6:$D$205=$C$4)*(Ledger!$B$6:$B$205=Settings!$B$19)*IF($C$5="All Years",1,YEAR(Ledger!$A$6:$A$205)=IF($C$5="All Years",0,VALUE($C$5)))*Ledger!$H$6:$H$205)))</f>
        <v/>
      </c>
      <c r="G22" s="76"/>
      <c r="H22" s="76"/>
      <c r="I22" s="77"/>
      <c r="J22" s="1"/>
      <c r="K22" s="1" t="str">
        <f>IFERROR(INDEX(Ledger!$D$6:$D$205,MATCH(0,COUNTIF($K$3:K21,Ledger!$D$6:$D$205),0)),"")</f>
        <v/>
      </c>
      <c r="L22" s="1"/>
      <c r="M22" s="1"/>
    </row>
    <row r="23" spans="1:13" ht="20" customHeight="1" x14ac:dyDescent="0.35">
      <c r="A23" s="114" t="str">
        <f>IF(Settings!$B$20="","",Settings!$B$20)</f>
        <v/>
      </c>
      <c r="B23" s="76"/>
      <c r="C23" s="76"/>
      <c r="D23" s="76"/>
      <c r="E23" s="77"/>
      <c r="F23" s="111" t="str">
        <f>IF(Settings!$B$20="","",IF($C$4="","—",SUMPRODUCT((Ledger!$D$6:$D$205=$C$4)*(Ledger!$B$6:$B$205=Settings!$B$20)*IF($C$5="All Years",1,YEAR(Ledger!$A$6:$A$205)=IF($C$5="All Years",0,VALUE($C$5)))*Ledger!$H$6:$H$205)))</f>
        <v/>
      </c>
      <c r="G23" s="76"/>
      <c r="H23" s="76"/>
      <c r="I23" s="77"/>
      <c r="J23" s="1"/>
      <c r="K23" s="1" t="str">
        <f>IFERROR(INDEX(Ledger!$D$6:$D$205,MATCH(0,COUNTIF($K$3:K22,Ledger!$D$6:$D$205),0)),"")</f>
        <v/>
      </c>
      <c r="L23" s="1"/>
      <c r="M23" s="1"/>
    </row>
    <row r="24" spans="1:13" ht="20" customHeight="1" x14ac:dyDescent="0.35">
      <c r="A24" s="88" t="str">
        <f>IF(Settings!$B$21="","",Settings!$B$21)</f>
        <v/>
      </c>
      <c r="B24" s="76"/>
      <c r="C24" s="76"/>
      <c r="D24" s="76"/>
      <c r="E24" s="77"/>
      <c r="F24" s="117" t="str">
        <f>IF(Settings!$B$21="","",IF($C$4="","—",SUMPRODUCT((Ledger!$D$6:$D$205=$C$4)*(Ledger!$B$6:$B$205=Settings!$B$21)*IF($C$5="All Years",1,YEAR(Ledger!$A$6:$A$205)=IF($C$5="All Years",0,VALUE($C$5)))*Ledger!$H$6:$H$205)))</f>
        <v/>
      </c>
      <c r="G24" s="76"/>
      <c r="H24" s="76"/>
      <c r="I24" s="77"/>
      <c r="J24" s="1"/>
      <c r="K24" s="1" t="str">
        <f>IFERROR(INDEX(Ledger!$D$6:$D$205,MATCH(0,COUNTIF($K$3:K23,Ledger!$D$6:$D$205),0)),"")</f>
        <v/>
      </c>
      <c r="L24" s="1"/>
      <c r="M24" s="1"/>
    </row>
    <row r="25" spans="1:13" ht="20" customHeight="1" x14ac:dyDescent="0.35">
      <c r="A25" s="114" t="str">
        <f>IF(Settings!$B$22="","",Settings!$B$22)</f>
        <v/>
      </c>
      <c r="B25" s="76"/>
      <c r="C25" s="76"/>
      <c r="D25" s="76"/>
      <c r="E25" s="77"/>
      <c r="F25" s="111" t="str">
        <f>IF(Settings!$B$22="","",IF($C$4="","—",SUMPRODUCT((Ledger!$D$6:$D$205=$C$4)*(Ledger!$B$6:$B$205=Settings!$B$22)*IF($C$5="All Years",1,YEAR(Ledger!$A$6:$A$205)=IF($C$5="All Years",0,VALUE($C$5)))*Ledger!$H$6:$H$205)))</f>
        <v/>
      </c>
      <c r="G25" s="76"/>
      <c r="H25" s="76"/>
      <c r="I25" s="77"/>
      <c r="J25" s="1"/>
      <c r="K25" s="1" t="str">
        <f>IFERROR(INDEX(Ledger!$D$6:$D$205,MATCH(0,COUNTIF($K$3:K24,Ledger!$D$6:$D$205),0)),"")</f>
        <v/>
      </c>
      <c r="L25" s="1"/>
      <c r="M25" s="1"/>
    </row>
    <row r="26" spans="1:13" ht="20" customHeight="1" x14ac:dyDescent="0.35">
      <c r="A26" s="88" t="str">
        <f>IF(Settings!$B$23="","",Settings!$B$23)</f>
        <v/>
      </c>
      <c r="B26" s="76"/>
      <c r="C26" s="76"/>
      <c r="D26" s="76"/>
      <c r="E26" s="77"/>
      <c r="F26" s="117" t="str">
        <f>IF(Settings!$B$23="","",IF($C$4="","—",SUMPRODUCT((Ledger!$D$6:$D$205=$C$4)*(Ledger!$B$6:$B$205=Settings!$B$23)*IF($C$5="All Years",1,YEAR(Ledger!$A$6:$A$205)=IF($C$5="All Years",0,VALUE($C$5)))*Ledger!$H$6:$H$205)))</f>
        <v/>
      </c>
      <c r="G26" s="76"/>
      <c r="H26" s="76"/>
      <c r="I26" s="77"/>
      <c r="J26" s="1"/>
      <c r="K26" s="1" t="str">
        <f>IFERROR(INDEX(Ledger!$D$6:$D$205,MATCH(0,COUNTIF($K$3:K25,Ledger!$D$6:$D$205),0)),"")</f>
        <v/>
      </c>
      <c r="L26" s="1"/>
      <c r="M26" s="1"/>
    </row>
    <row r="27" spans="1:13" ht="20" customHeight="1" x14ac:dyDescent="0.35">
      <c r="A27" s="114" t="str">
        <f>IF(Settings!$B$24="","",Settings!$B$24)</f>
        <v/>
      </c>
      <c r="B27" s="76"/>
      <c r="C27" s="76"/>
      <c r="D27" s="76"/>
      <c r="E27" s="77"/>
      <c r="F27" s="111" t="str">
        <f>IF(Settings!$B$24="","",IF($C$4="","—",SUMPRODUCT((Ledger!$D$6:$D$205=$C$4)*(Ledger!$B$6:$B$205=Settings!$B$24)*IF($C$5="All Years",1,YEAR(Ledger!$A$6:$A$205)=IF($C$5="All Years",0,VALUE($C$5)))*Ledger!$H$6:$H$205)))</f>
        <v/>
      </c>
      <c r="G27" s="76"/>
      <c r="H27" s="76"/>
      <c r="I27" s="77"/>
      <c r="J27" s="1"/>
      <c r="K27" s="1" t="str">
        <f>IFERROR(INDEX(Ledger!$D$6:$D$205,MATCH(0,COUNTIF($K$3:K26,Ledger!$D$6:$D$205),0)),"")</f>
        <v/>
      </c>
      <c r="L27" s="1"/>
      <c r="M27" s="1"/>
    </row>
    <row r="28" spans="1:13" ht="20" customHeight="1" x14ac:dyDescent="0.35">
      <c r="A28" s="88" t="str">
        <f>IF(Settings!$B$25="","",Settings!$B$25)</f>
        <v/>
      </c>
      <c r="B28" s="76"/>
      <c r="C28" s="76"/>
      <c r="D28" s="76"/>
      <c r="E28" s="77"/>
      <c r="F28" s="117" t="str">
        <f>IF(Settings!$B$25="","",IF($C$4="","—",SUMPRODUCT((Ledger!$D$6:$D$205=$C$4)*(Ledger!$B$6:$B$205=Settings!$B$25)*IF($C$5="All Years",1,YEAR(Ledger!$A$6:$A$205)=IF($C$5="All Years",0,VALUE($C$5)))*Ledger!$H$6:$H$205)))</f>
        <v/>
      </c>
      <c r="G28" s="76"/>
      <c r="H28" s="76"/>
      <c r="I28" s="77"/>
      <c r="J28" s="1"/>
      <c r="K28" s="1" t="str">
        <f>IFERROR(INDEX(Ledger!$D$6:$D$205,MATCH(0,COUNTIF($K$3:K27,Ledger!$D$6:$D$205),0)),"")</f>
        <v/>
      </c>
      <c r="L28" s="1"/>
      <c r="M28" s="1"/>
    </row>
    <row r="29" spans="1:13" ht="20" customHeight="1" x14ac:dyDescent="0.35">
      <c r="A29" s="114" t="str">
        <f>IF(Settings!$B$26="","",Settings!$B$26)</f>
        <v/>
      </c>
      <c r="B29" s="76"/>
      <c r="C29" s="76"/>
      <c r="D29" s="76"/>
      <c r="E29" s="77"/>
      <c r="F29" s="111" t="str">
        <f>IF(Settings!$B$26="","",IF($C$4="","—",SUMPRODUCT((Ledger!$D$6:$D$205=$C$4)*(Ledger!$B$6:$B$205=Settings!$B$26)*IF($C$5="All Years",1,YEAR(Ledger!$A$6:$A$205)=IF($C$5="All Years",0,VALUE($C$5)))*Ledger!$H$6:$H$205)))</f>
        <v/>
      </c>
      <c r="G29" s="76"/>
      <c r="H29" s="76"/>
      <c r="I29" s="77"/>
      <c r="J29" s="1"/>
      <c r="K29" s="1" t="str">
        <f>IFERROR(INDEX(Ledger!$D$6:$D$205,MATCH(0,COUNTIF($K$3:K28,Ledger!$D$6:$D$205),0)),"")</f>
        <v/>
      </c>
      <c r="L29" s="1"/>
      <c r="M29" s="1"/>
    </row>
    <row r="30" spans="1:13" ht="20" customHeight="1" x14ac:dyDescent="0.35">
      <c r="A30" s="88" t="str">
        <f>IF(Settings!$B$27="","",Settings!$B$27)</f>
        <v/>
      </c>
      <c r="B30" s="76"/>
      <c r="C30" s="76"/>
      <c r="D30" s="76"/>
      <c r="E30" s="77"/>
      <c r="F30" s="117" t="str">
        <f>IF(Settings!$B$27="","",IF($C$4="","—",SUMPRODUCT((Ledger!$D$6:$D$205=$C$4)*(Ledger!$B$6:$B$205=Settings!$B$27)*IF($C$5="All Years",1,YEAR(Ledger!$A$6:$A$205)=IF($C$5="All Years",0,VALUE($C$5)))*Ledger!$H$6:$H$205)))</f>
        <v/>
      </c>
      <c r="G30" s="76"/>
      <c r="H30" s="76"/>
      <c r="I30" s="77"/>
      <c r="J30" s="1"/>
      <c r="K30" s="1" t="str">
        <f>IFERROR(INDEX(Ledger!$D$6:$D$205,MATCH(0,COUNTIF($K$3:K29,Ledger!$D$6:$D$205),0)),"")</f>
        <v/>
      </c>
      <c r="L30" s="1"/>
      <c r="M30" s="1"/>
    </row>
    <row r="31" spans="1:13" ht="20" customHeight="1" x14ac:dyDescent="0.35">
      <c r="A31" s="114" t="str">
        <f>IF(Settings!$B$28="","",Settings!$B$28)</f>
        <v/>
      </c>
      <c r="B31" s="76"/>
      <c r="C31" s="76"/>
      <c r="D31" s="76"/>
      <c r="E31" s="77"/>
      <c r="F31" s="111" t="str">
        <f>IF(Settings!$B$28="","",IF($C$4="","—",SUMPRODUCT((Ledger!$D$6:$D$205=$C$4)*(Ledger!$B$6:$B$205=Settings!$B$28)*IF($C$5="All Years",1,YEAR(Ledger!$A$6:$A$205)=IF($C$5="All Years",0,VALUE($C$5)))*Ledger!$H$6:$H$205)))</f>
        <v/>
      </c>
      <c r="G31" s="76"/>
      <c r="H31" s="76"/>
      <c r="I31" s="77"/>
      <c r="J31" s="1"/>
      <c r="K31" s="1" t="str">
        <f>IFERROR(INDEX(Ledger!$D$6:$D$205,MATCH(0,COUNTIF($K$3:K30,Ledger!$D$6:$D$205),0)),"")</f>
        <v/>
      </c>
      <c r="L31" s="1"/>
      <c r="M31" s="1"/>
    </row>
    <row r="32" spans="1:13" ht="20" customHeight="1" x14ac:dyDescent="0.35">
      <c r="A32" s="88" t="str">
        <f>IF(Settings!$B$29="","",Settings!$B$29)</f>
        <v/>
      </c>
      <c r="B32" s="76"/>
      <c r="C32" s="76"/>
      <c r="D32" s="76"/>
      <c r="E32" s="77"/>
      <c r="F32" s="117" t="str">
        <f>IF(Settings!$B$29="","",IF($C$4="","—",SUMPRODUCT((Ledger!$D$6:$D$205=$C$4)*(Ledger!$B$6:$B$205=Settings!$B$29)*IF($C$5="All Years",1,YEAR(Ledger!$A$6:$A$205)=IF($C$5="All Years",0,VALUE($C$5)))*Ledger!$H$6:$H$205)))</f>
        <v/>
      </c>
      <c r="G32" s="76"/>
      <c r="H32" s="76"/>
      <c r="I32" s="77"/>
      <c r="J32" s="1"/>
      <c r="K32" s="1" t="str">
        <f>IFERROR(INDEX(Ledger!$D$6:$D$205,MATCH(0,COUNTIF($K$3:K31,Ledger!$D$6:$D$205),0)),"")</f>
        <v/>
      </c>
      <c r="L32" s="1"/>
      <c r="M32" s="1"/>
    </row>
    <row r="33" spans="1:13" ht="20" customHeight="1" x14ac:dyDescent="0.35">
      <c r="A33" s="114" t="str">
        <f>IF(Settings!$B$30="","",Settings!$B$30)</f>
        <v/>
      </c>
      <c r="B33" s="76"/>
      <c r="C33" s="76"/>
      <c r="D33" s="76"/>
      <c r="E33" s="77"/>
      <c r="F33" s="111" t="str">
        <f>IF(Settings!$B$30="","",IF($C$4="","—",SUMPRODUCT((Ledger!$D$6:$D$205=$C$4)*(Ledger!$B$6:$B$205=Settings!$B$30)*IF($C$5="All Years",1,YEAR(Ledger!$A$6:$A$205)=IF($C$5="All Years",0,VALUE($C$5)))*Ledger!$H$6:$H$205)))</f>
        <v/>
      </c>
      <c r="G33" s="76"/>
      <c r="H33" s="76"/>
      <c r="I33" s="77"/>
      <c r="J33" s="1"/>
      <c r="K33" s="1" t="str">
        <f>IFERROR(INDEX(Ledger!$D$6:$D$205,MATCH(0,COUNTIF($K$3:K32,Ledger!$D$6:$D$205),0)),"")</f>
        <v/>
      </c>
      <c r="L33" s="1"/>
      <c r="M33" s="1"/>
    </row>
    <row r="34" spans="1:13" ht="20" customHeight="1" x14ac:dyDescent="0.35">
      <c r="A34" s="88" t="str">
        <f>IF(Settings!$B$31="","",Settings!$B$31)</f>
        <v/>
      </c>
      <c r="B34" s="76"/>
      <c r="C34" s="76"/>
      <c r="D34" s="76"/>
      <c r="E34" s="77"/>
      <c r="F34" s="117" t="str">
        <f>IF(Settings!$B$31="","",IF($C$4="","—",SUMPRODUCT((Ledger!$D$6:$D$205=$C$4)*(Ledger!$B$6:$B$205=Settings!$B$31)*IF($C$5="All Years",1,YEAR(Ledger!$A$6:$A$205)=IF($C$5="All Years",0,VALUE($C$5)))*Ledger!$H$6:$H$205)))</f>
        <v/>
      </c>
      <c r="G34" s="76"/>
      <c r="H34" s="76"/>
      <c r="I34" s="77"/>
      <c r="J34" s="1"/>
      <c r="K34" s="1" t="str">
        <f>IFERROR(INDEX(Ledger!$D$6:$D$205,MATCH(0,COUNTIF($K$3:K33,Ledger!$D$6:$D$205),0)),"")</f>
        <v/>
      </c>
      <c r="L34" s="1"/>
      <c r="M34" s="1"/>
    </row>
    <row r="35" spans="1:13" ht="20" customHeight="1" x14ac:dyDescent="0.35">
      <c r="A35" s="114" t="str">
        <f>IF(Settings!$B$32="","",Settings!$B$32)</f>
        <v/>
      </c>
      <c r="B35" s="76"/>
      <c r="C35" s="76"/>
      <c r="D35" s="76"/>
      <c r="E35" s="77"/>
      <c r="F35" s="111" t="str">
        <f>IF(Settings!$B$32="","",IF($C$4="","—",SUMPRODUCT((Ledger!$D$6:$D$205=$C$4)*(Ledger!$B$6:$B$205=Settings!$B$32)*IF($C$5="All Years",1,YEAR(Ledger!$A$6:$A$205)=IF($C$5="All Years",0,VALUE($C$5)))*Ledger!$H$6:$H$205)))</f>
        <v/>
      </c>
      <c r="G35" s="76"/>
      <c r="H35" s="76"/>
      <c r="I35" s="77"/>
      <c r="J35" s="1"/>
      <c r="K35" s="1" t="str">
        <f>IFERROR(INDEX(Ledger!$D$6:$D$205,MATCH(0,COUNTIF($K$3:K34,Ledger!$D$6:$D$205),0)),"")</f>
        <v/>
      </c>
      <c r="L35" s="1"/>
      <c r="M35" s="1"/>
    </row>
    <row r="36" spans="1:13" ht="20" customHeight="1" x14ac:dyDescent="0.35">
      <c r="A36" s="88" t="str">
        <f>IF(Settings!$B$33="","",Settings!$B$33)</f>
        <v/>
      </c>
      <c r="B36" s="76"/>
      <c r="C36" s="76"/>
      <c r="D36" s="76"/>
      <c r="E36" s="77"/>
      <c r="F36" s="117" t="str">
        <f>IF(Settings!$B$33="","",IF($C$4="","—",SUMPRODUCT((Ledger!$D$6:$D$205=$C$4)*(Ledger!$B$6:$B$205=Settings!$B$33)*IF($C$5="All Years",1,YEAR(Ledger!$A$6:$A$205)=IF($C$5="All Years",0,VALUE($C$5)))*Ledger!$H$6:$H$205)))</f>
        <v/>
      </c>
      <c r="G36" s="76"/>
      <c r="H36" s="76"/>
      <c r="I36" s="77"/>
      <c r="J36" s="1"/>
      <c r="K36" s="1" t="str">
        <f>IFERROR(INDEX(Ledger!$D$6:$D$205,MATCH(0,COUNTIF($K$3:K35,Ledger!$D$6:$D$205),0)),"")</f>
        <v/>
      </c>
      <c r="L36" s="1"/>
      <c r="M36" s="1"/>
    </row>
    <row r="37" spans="1:13" ht="20" customHeight="1" x14ac:dyDescent="0.35">
      <c r="A37" s="114" t="str">
        <f>IF(Settings!$B$34="","",Settings!$B$34)</f>
        <v/>
      </c>
      <c r="B37" s="76"/>
      <c r="C37" s="76"/>
      <c r="D37" s="76"/>
      <c r="E37" s="77"/>
      <c r="F37" s="111" t="str">
        <f>IF(Settings!$B$34="","",IF($C$4="","—",SUMPRODUCT((Ledger!$D$6:$D$205=$C$4)*(Ledger!$B$6:$B$205=Settings!$B$34)*IF($C$5="All Years",1,YEAR(Ledger!$A$6:$A$205)=IF($C$5="All Years",0,VALUE($C$5)))*Ledger!$H$6:$H$205)))</f>
        <v/>
      </c>
      <c r="G37" s="76"/>
      <c r="H37" s="76"/>
      <c r="I37" s="77"/>
      <c r="J37" s="1"/>
      <c r="K37" s="1" t="str">
        <f>IFERROR(INDEX(Ledger!$D$6:$D$205,MATCH(0,COUNTIF($K$3:K36,Ledger!$D$6:$D$205),0)),"")</f>
        <v/>
      </c>
      <c r="L37" s="1"/>
      <c r="M37" s="1"/>
    </row>
    <row r="38" spans="1:13" x14ac:dyDescent="0.35">
      <c r="A38" s="1"/>
      <c r="B38" s="1"/>
      <c r="C38" s="1"/>
      <c r="D38" s="1"/>
      <c r="E38" s="1"/>
      <c r="F38" s="1"/>
      <c r="G38" s="1"/>
      <c r="H38" s="1"/>
      <c r="I38" s="1"/>
      <c r="J38" s="1"/>
      <c r="K38" s="1" t="str">
        <f>IFERROR(INDEX(Ledger!$D$6:$D$205,MATCH(0,COUNTIF($K$3:K37,Ledger!$D$6:$D$205),0)),"")</f>
        <v/>
      </c>
      <c r="L38" s="1"/>
      <c r="M38" s="1"/>
    </row>
    <row r="39" spans="1:13" ht="24" customHeight="1" x14ac:dyDescent="0.35">
      <c r="A39" s="92" t="s">
        <v>244</v>
      </c>
      <c r="B39" s="76"/>
      <c r="C39" s="76"/>
      <c r="D39" s="76"/>
      <c r="E39" s="77"/>
      <c r="F39" s="121" t="str">
        <f>IF($C$4="","—",SUMPRODUCT((Ledger!$D$6:$D$205=$C$4)*IF($C$5="All Years",1,YEAR(Ledger!$A$6:$A$205)=IF($C$5="All Years",0,VALUE($C$5)))*Ledger!$H$6:$H$205))</f>
        <v>—</v>
      </c>
      <c r="G39" s="95"/>
      <c r="H39" s="95"/>
      <c r="I39" s="87"/>
      <c r="J39" s="1"/>
      <c r="K39" s="1" t="str">
        <f>IFERROR(INDEX(Ledger!$D$6:$D$205,MATCH(0,COUNTIF($K$3:K38,Ledger!$D$6:$D$205),0)),"")</f>
        <v/>
      </c>
      <c r="L39" s="1"/>
      <c r="M39" s="1"/>
    </row>
    <row r="40" spans="1:13" x14ac:dyDescent="0.35">
      <c r="A40" s="1"/>
      <c r="B40" s="1"/>
      <c r="C40" s="1"/>
      <c r="D40" s="1"/>
      <c r="E40" s="1"/>
      <c r="F40" s="1"/>
      <c r="G40" s="1"/>
      <c r="H40" s="1"/>
      <c r="I40" s="1"/>
      <c r="J40" s="1"/>
      <c r="K40" s="1" t="str">
        <f>IFERROR(INDEX(Ledger!$D$6:$D$205,MATCH(0,COUNTIF($K$3:K39,Ledger!$D$6:$D$205),0)),"")</f>
        <v/>
      </c>
      <c r="L40" s="1"/>
      <c r="M40" s="1"/>
    </row>
    <row r="41" spans="1:13" ht="22" customHeight="1" x14ac:dyDescent="0.35">
      <c r="A41" s="31" t="s">
        <v>245</v>
      </c>
      <c r="B41" s="31" t="s">
        <v>195</v>
      </c>
      <c r="C41" s="31" t="s">
        <v>225</v>
      </c>
      <c r="D41" s="31" t="s">
        <v>226</v>
      </c>
      <c r="E41" s="31" t="s">
        <v>227</v>
      </c>
      <c r="F41" s="31" t="s">
        <v>228</v>
      </c>
      <c r="G41" s="31" t="s">
        <v>229</v>
      </c>
      <c r="H41" s="31" t="s">
        <v>230</v>
      </c>
      <c r="I41" s="31" t="s">
        <v>231</v>
      </c>
      <c r="J41" s="1"/>
      <c r="K41" s="1" t="str">
        <f>IFERROR(INDEX(Ledger!$D$6:$D$205,MATCH(0,COUNTIF($K$3:K40,Ledger!$D$6:$D$205),0)),"")</f>
        <v/>
      </c>
      <c r="L41" s="1">
        <f>IFERROR(SMALL(IF((Ledger!$D$6:$D$205=$C$4)*IF($C$5="All Years",1,YEAR(Ledger!$A$6:$A$205)=IF($C$5="All Years",0,VALUE($C$5))),ROW(Ledger!$D$6:$D$205)-ROW(Ledger!$D$6)+1),1),"")</f>
        <v>1</v>
      </c>
      <c r="M41" s="1"/>
    </row>
    <row r="42" spans="1:13" ht="20" customHeight="1" x14ac:dyDescent="0.35">
      <c r="A42" s="67">
        <f>IF($L41="","",1)</f>
        <v>1</v>
      </c>
      <c r="B42" s="68">
        <f>IFERROR(IF($L41="","",INDEX(Ledger!$A$6:$A$205,$L41)),"—")</f>
        <v>0</v>
      </c>
      <c r="C42" s="69">
        <f>IFERROR(IF($L41="","",INDEX(Ledger!$B$6:$B$205,$L41)),"—")</f>
        <v>0</v>
      </c>
      <c r="D42" s="69">
        <f>IFERROR(IF($L41="","",INDEX(Ledger!$C$6:$C$205,$L41)),"—")</f>
        <v>0</v>
      </c>
      <c r="E42" s="69">
        <f>IFERROR(IF($L41="","",INDEX(Ledger!$D$6:$D$205,$L41)),"—")</f>
        <v>0</v>
      </c>
      <c r="F42" s="69">
        <f>IFERROR(IF($L41="","",INDEX(Ledger!$E$6:$E$205,$L41)),"—")</f>
        <v>0</v>
      </c>
      <c r="G42" s="70">
        <f>IFERROR(IF($L41="","",INDEX(Ledger!$F$6:$F$205,$L41)),"—")</f>
        <v>0</v>
      </c>
      <c r="H42" s="70">
        <f>IFERROR(IF($L41="","",INDEX(Ledger!$G$6:$G$205,$L41)),"—")</f>
        <v>0</v>
      </c>
      <c r="I42" s="70" t="str">
        <f>IFERROR(IF($L41="","",INDEX(Ledger!$H$6:$H$205,$L41)),"—")</f>
        <v/>
      </c>
      <c r="J42" s="1"/>
      <c r="K42" s="1" t="str">
        <f>IFERROR(INDEX(Ledger!$D$6:$D$205,MATCH(0,COUNTIF($K$3:K41,Ledger!$D$6:$D$205),0)),"")</f>
        <v/>
      </c>
      <c r="L42" s="1" t="str">
        <f>IFERROR(SMALL(IF((Ledger!$D$6:$D$205=$C$4)*IF($C$5="All Years",1,YEAR(Ledger!$A$6:$A$205)=IF($C$5="All Years",0,VALUE($C$5))),ROW(Ledger!$D$6:$D$205)-ROW(Ledger!$D$6)+1),2),"")</f>
        <v/>
      </c>
      <c r="M42" s="1"/>
    </row>
    <row r="43" spans="1:13" ht="20" customHeight="1" x14ac:dyDescent="0.35">
      <c r="A43" s="71" t="str">
        <f>IF($L42="","",2)</f>
        <v/>
      </c>
      <c r="B43" s="72" t="str">
        <f>IFERROR(IF($L42="","",INDEX(Ledger!$A$6:$A$205,$L42)),"—")</f>
        <v/>
      </c>
      <c r="C43" s="73" t="str">
        <f>IFERROR(IF($L42="","",INDEX(Ledger!$B$6:$B$205,$L42)),"—")</f>
        <v/>
      </c>
      <c r="D43" s="73" t="str">
        <f>IFERROR(IF($L42="","",INDEX(Ledger!$C$6:$C$205,$L42)),"—")</f>
        <v/>
      </c>
      <c r="E43" s="73" t="str">
        <f>IFERROR(IF($L42="","",INDEX(Ledger!$D$6:$D$205,$L42)),"—")</f>
        <v/>
      </c>
      <c r="F43" s="73" t="str">
        <f>IFERROR(IF($L42="","",INDEX(Ledger!$E$6:$E$205,$L42)),"—")</f>
        <v/>
      </c>
      <c r="G43" s="74" t="str">
        <f>IFERROR(IF($L42="","",INDEX(Ledger!$F$6:$F$205,$L42)),"—")</f>
        <v/>
      </c>
      <c r="H43" s="74" t="str">
        <f>IFERROR(IF($L42="","",INDEX(Ledger!$G$6:$G$205,$L42)),"—")</f>
        <v/>
      </c>
      <c r="I43" s="74" t="str">
        <f>IFERROR(IF($L42="","",INDEX(Ledger!$H$6:$H$205,$L42)),"—")</f>
        <v/>
      </c>
      <c r="J43" s="1"/>
      <c r="K43" s="1" t="str">
        <f>IFERROR(INDEX(Ledger!$D$6:$D$205,MATCH(0,COUNTIF($K$3:K42,Ledger!$D$6:$D$205),0)),"")</f>
        <v/>
      </c>
      <c r="L43" s="1" t="str">
        <f>IFERROR(SMALL(IF((Ledger!$D$6:$D$205=$C$4)*IF($C$5="All Years",1,YEAR(Ledger!$A$6:$A$205)=IF($C$5="All Years",0,VALUE($C$5))),ROW(Ledger!$D$6:$D$205)-ROW(Ledger!$D$6)+1),3),"")</f>
        <v/>
      </c>
      <c r="M43" s="1"/>
    </row>
    <row r="44" spans="1:13" ht="20" customHeight="1" x14ac:dyDescent="0.35">
      <c r="A44" s="67" t="str">
        <f>IF($L43="","",3)</f>
        <v/>
      </c>
      <c r="B44" s="68" t="str">
        <f>IFERROR(IF($L43="","",INDEX(Ledger!$A$6:$A$205,$L43)),"—")</f>
        <v/>
      </c>
      <c r="C44" s="69" t="str">
        <f>IFERROR(IF($L43="","",INDEX(Ledger!$B$6:$B$205,$L43)),"—")</f>
        <v/>
      </c>
      <c r="D44" s="69" t="str">
        <f>IFERROR(IF($L43="","",INDEX(Ledger!$C$6:$C$205,$L43)),"—")</f>
        <v/>
      </c>
      <c r="E44" s="69" t="str">
        <f>IFERROR(IF($L43="","",INDEX(Ledger!$D$6:$D$205,$L43)),"—")</f>
        <v/>
      </c>
      <c r="F44" s="69" t="str">
        <f>IFERROR(IF($L43="","",INDEX(Ledger!$E$6:$E$205,$L43)),"—")</f>
        <v/>
      </c>
      <c r="G44" s="70" t="str">
        <f>IFERROR(IF($L43="","",INDEX(Ledger!$F$6:$F$205,$L43)),"—")</f>
        <v/>
      </c>
      <c r="H44" s="70" t="str">
        <f>IFERROR(IF($L43="","",INDEX(Ledger!$G$6:$G$205,$L43)),"—")</f>
        <v/>
      </c>
      <c r="I44" s="70" t="str">
        <f>IFERROR(IF($L43="","",INDEX(Ledger!$H$6:$H$205,$L43)),"—")</f>
        <v/>
      </c>
      <c r="J44" s="1"/>
      <c r="K44" s="1" t="str">
        <f>IFERROR(INDEX(Ledger!$D$6:$D$205,MATCH(0,COUNTIF($K$3:K43,Ledger!$D$6:$D$205),0)),"")</f>
        <v/>
      </c>
      <c r="L44" s="1" t="str">
        <f>IFERROR(SMALL(IF((Ledger!$D$6:$D$205=$C$4)*IF($C$5="All Years",1,YEAR(Ledger!$A$6:$A$205)=IF($C$5="All Years",0,VALUE($C$5))),ROW(Ledger!$D$6:$D$205)-ROW(Ledger!$D$6)+1),4),"")</f>
        <v/>
      </c>
      <c r="M44" s="1"/>
    </row>
    <row r="45" spans="1:13" ht="20" customHeight="1" x14ac:dyDescent="0.35">
      <c r="A45" s="71" t="str">
        <f>IF($L44="","",4)</f>
        <v/>
      </c>
      <c r="B45" s="72" t="str">
        <f>IFERROR(IF($L44="","",INDEX(Ledger!$A$6:$A$205,$L44)),"—")</f>
        <v/>
      </c>
      <c r="C45" s="73" t="str">
        <f>IFERROR(IF($L44="","",INDEX(Ledger!$B$6:$B$205,$L44)),"—")</f>
        <v/>
      </c>
      <c r="D45" s="73" t="str">
        <f>IFERROR(IF($L44="","",INDEX(Ledger!$C$6:$C$205,$L44)),"—")</f>
        <v/>
      </c>
      <c r="E45" s="73" t="str">
        <f>IFERROR(IF($L44="","",INDEX(Ledger!$D$6:$D$205,$L44)),"—")</f>
        <v/>
      </c>
      <c r="F45" s="73" t="str">
        <f>IFERROR(IF($L44="","",INDEX(Ledger!$E$6:$E$205,$L44)),"—")</f>
        <v/>
      </c>
      <c r="G45" s="74" t="str">
        <f>IFERROR(IF($L44="","",INDEX(Ledger!$F$6:$F$205,$L44)),"—")</f>
        <v/>
      </c>
      <c r="H45" s="74" t="str">
        <f>IFERROR(IF($L44="","",INDEX(Ledger!$G$6:$G$205,$L44)),"—")</f>
        <v/>
      </c>
      <c r="I45" s="74" t="str">
        <f>IFERROR(IF($L44="","",INDEX(Ledger!$H$6:$H$205,$L44)),"—")</f>
        <v/>
      </c>
      <c r="J45" s="1"/>
      <c r="K45" s="1" t="str">
        <f>IFERROR(INDEX(Ledger!$D$6:$D$205,MATCH(0,COUNTIF($K$3:K44,Ledger!$D$6:$D$205),0)),"")</f>
        <v/>
      </c>
      <c r="L45" s="1" t="str">
        <f>IFERROR(SMALL(IF((Ledger!$D$6:$D$205=$C$4)*IF($C$5="All Years",1,YEAR(Ledger!$A$6:$A$205)=IF($C$5="All Years",0,VALUE($C$5))),ROW(Ledger!$D$6:$D$205)-ROW(Ledger!$D$6)+1),5),"")</f>
        <v/>
      </c>
      <c r="M45" s="1"/>
    </row>
    <row r="46" spans="1:13" ht="20" customHeight="1" x14ac:dyDescent="0.35">
      <c r="A46" s="67" t="str">
        <f>IF($L45="","",5)</f>
        <v/>
      </c>
      <c r="B46" s="68" t="str">
        <f>IFERROR(IF($L45="","",INDEX(Ledger!$A$6:$A$205,$L45)),"—")</f>
        <v/>
      </c>
      <c r="C46" s="69" t="str">
        <f>IFERROR(IF($L45="","",INDEX(Ledger!$B$6:$B$205,$L45)),"—")</f>
        <v/>
      </c>
      <c r="D46" s="69" t="str">
        <f>IFERROR(IF($L45="","",INDEX(Ledger!$C$6:$C$205,$L45)),"—")</f>
        <v/>
      </c>
      <c r="E46" s="69" t="str">
        <f>IFERROR(IF($L45="","",INDEX(Ledger!$D$6:$D$205,$L45)),"—")</f>
        <v/>
      </c>
      <c r="F46" s="69" t="str">
        <f>IFERROR(IF($L45="","",INDEX(Ledger!$E$6:$E$205,$L45)),"—")</f>
        <v/>
      </c>
      <c r="G46" s="70" t="str">
        <f>IFERROR(IF($L45="","",INDEX(Ledger!$F$6:$F$205,$L45)),"—")</f>
        <v/>
      </c>
      <c r="H46" s="70" t="str">
        <f>IFERROR(IF($L45="","",INDEX(Ledger!$G$6:$G$205,$L45)),"—")</f>
        <v/>
      </c>
      <c r="I46" s="70" t="str">
        <f>IFERROR(IF($L45="","",INDEX(Ledger!$H$6:$H$205,$L45)),"—")</f>
        <v/>
      </c>
      <c r="J46" s="1"/>
      <c r="K46" s="1" t="str">
        <f>IFERROR(INDEX(Ledger!$D$6:$D$205,MATCH(0,COUNTIF($K$3:K45,Ledger!$D$6:$D$205),0)),"")</f>
        <v/>
      </c>
      <c r="L46" s="1" t="str">
        <f>IFERROR(SMALL(IF((Ledger!$D$6:$D$205=$C$4)*IF($C$5="All Years",1,YEAR(Ledger!$A$6:$A$205)=IF($C$5="All Years",0,VALUE($C$5))),ROW(Ledger!$D$6:$D$205)-ROW(Ledger!$D$6)+1),6),"")</f>
        <v/>
      </c>
      <c r="M46" s="1"/>
    </row>
    <row r="47" spans="1:13" ht="20" customHeight="1" x14ac:dyDescent="0.35">
      <c r="A47" s="71" t="str">
        <f>IF($L46="","",6)</f>
        <v/>
      </c>
      <c r="B47" s="72" t="str">
        <f>IFERROR(IF($L46="","",INDEX(Ledger!$A$6:$A$205,$L46)),"—")</f>
        <v/>
      </c>
      <c r="C47" s="73" t="str">
        <f>IFERROR(IF($L46="","",INDEX(Ledger!$B$6:$B$205,$L46)),"—")</f>
        <v/>
      </c>
      <c r="D47" s="73" t="str">
        <f>IFERROR(IF($L46="","",INDEX(Ledger!$C$6:$C$205,$L46)),"—")</f>
        <v/>
      </c>
      <c r="E47" s="73" t="str">
        <f>IFERROR(IF($L46="","",INDEX(Ledger!$D$6:$D$205,$L46)),"—")</f>
        <v/>
      </c>
      <c r="F47" s="73" t="str">
        <f>IFERROR(IF($L46="","",INDEX(Ledger!$E$6:$E$205,$L46)),"—")</f>
        <v/>
      </c>
      <c r="G47" s="74" t="str">
        <f>IFERROR(IF($L46="","",INDEX(Ledger!$F$6:$F$205,$L46)),"—")</f>
        <v/>
      </c>
      <c r="H47" s="74" t="str">
        <f>IFERROR(IF($L46="","",INDEX(Ledger!$G$6:$G$205,$L46)),"—")</f>
        <v/>
      </c>
      <c r="I47" s="74" t="str">
        <f>IFERROR(IF($L46="","",INDEX(Ledger!$H$6:$H$205,$L46)),"—")</f>
        <v/>
      </c>
      <c r="J47" s="1"/>
      <c r="K47" s="1" t="str">
        <f>IFERROR(INDEX(Ledger!$D$6:$D$205,MATCH(0,COUNTIF($K$3:K46,Ledger!$D$6:$D$205),0)),"")</f>
        <v/>
      </c>
      <c r="L47" s="1" t="str">
        <f>IFERROR(SMALL(IF((Ledger!$D$6:$D$205=$C$4)*IF($C$5="All Years",1,YEAR(Ledger!$A$6:$A$205)=IF($C$5="All Years",0,VALUE($C$5))),ROW(Ledger!$D$6:$D$205)-ROW(Ledger!$D$6)+1),7),"")</f>
        <v/>
      </c>
      <c r="M47" s="1"/>
    </row>
    <row r="48" spans="1:13" ht="20" customHeight="1" x14ac:dyDescent="0.35">
      <c r="A48" s="67" t="str">
        <f>IF($L47="","",7)</f>
        <v/>
      </c>
      <c r="B48" s="68" t="str">
        <f>IFERROR(IF($L47="","",INDEX(Ledger!$A$6:$A$205,$L47)),"—")</f>
        <v/>
      </c>
      <c r="C48" s="69" t="str">
        <f>IFERROR(IF($L47="","",INDEX(Ledger!$B$6:$B$205,$L47)),"—")</f>
        <v/>
      </c>
      <c r="D48" s="69" t="str">
        <f>IFERROR(IF($L47="","",INDEX(Ledger!$C$6:$C$205,$L47)),"—")</f>
        <v/>
      </c>
      <c r="E48" s="69" t="str">
        <f>IFERROR(IF($L47="","",INDEX(Ledger!$D$6:$D$205,$L47)),"—")</f>
        <v/>
      </c>
      <c r="F48" s="69" t="str">
        <f>IFERROR(IF($L47="","",INDEX(Ledger!$E$6:$E$205,$L47)),"—")</f>
        <v/>
      </c>
      <c r="G48" s="70" t="str">
        <f>IFERROR(IF($L47="","",INDEX(Ledger!$F$6:$F$205,$L47)),"—")</f>
        <v/>
      </c>
      <c r="H48" s="70" t="str">
        <f>IFERROR(IF($L47="","",INDEX(Ledger!$G$6:$G$205,$L47)),"—")</f>
        <v/>
      </c>
      <c r="I48" s="70" t="str">
        <f>IFERROR(IF($L47="","",INDEX(Ledger!$H$6:$H$205,$L47)),"—")</f>
        <v/>
      </c>
      <c r="J48" s="1"/>
      <c r="K48" s="1" t="str">
        <f>IFERROR(INDEX(Ledger!$D$6:$D$205,MATCH(0,COUNTIF($K$3:K47,Ledger!$D$6:$D$205),0)),"")</f>
        <v/>
      </c>
      <c r="L48" s="1" t="str">
        <f>IFERROR(SMALL(IF((Ledger!$D$6:$D$205=$C$4)*IF($C$5="All Years",1,YEAR(Ledger!$A$6:$A$205)=IF($C$5="All Years",0,VALUE($C$5))),ROW(Ledger!$D$6:$D$205)-ROW(Ledger!$D$6)+1),8),"")</f>
        <v/>
      </c>
      <c r="M48" s="1"/>
    </row>
    <row r="49" spans="1:13" ht="20" customHeight="1" x14ac:dyDescent="0.35">
      <c r="A49" s="71" t="str">
        <f>IF($L48="","",8)</f>
        <v/>
      </c>
      <c r="B49" s="72" t="str">
        <f>IFERROR(IF($L48="","",INDEX(Ledger!$A$6:$A$205,$L48)),"—")</f>
        <v/>
      </c>
      <c r="C49" s="73" t="str">
        <f>IFERROR(IF($L48="","",INDEX(Ledger!$B$6:$B$205,$L48)),"—")</f>
        <v/>
      </c>
      <c r="D49" s="73" t="str">
        <f>IFERROR(IF($L48="","",INDEX(Ledger!$C$6:$C$205,$L48)),"—")</f>
        <v/>
      </c>
      <c r="E49" s="73" t="str">
        <f>IFERROR(IF($L48="","",INDEX(Ledger!$D$6:$D$205,$L48)),"—")</f>
        <v/>
      </c>
      <c r="F49" s="73" t="str">
        <f>IFERROR(IF($L48="","",INDEX(Ledger!$E$6:$E$205,$L48)),"—")</f>
        <v/>
      </c>
      <c r="G49" s="74" t="str">
        <f>IFERROR(IF($L48="","",INDEX(Ledger!$F$6:$F$205,$L48)),"—")</f>
        <v/>
      </c>
      <c r="H49" s="74" t="str">
        <f>IFERROR(IF($L48="","",INDEX(Ledger!$G$6:$G$205,$L48)),"—")</f>
        <v/>
      </c>
      <c r="I49" s="74" t="str">
        <f>IFERROR(IF($L48="","",INDEX(Ledger!$H$6:$H$205,$L48)),"—")</f>
        <v/>
      </c>
      <c r="J49" s="1"/>
      <c r="K49" s="1" t="str">
        <f>IFERROR(INDEX(Ledger!$D$6:$D$205,MATCH(0,COUNTIF($K$3:K48,Ledger!$D$6:$D$205),0)),"")</f>
        <v/>
      </c>
      <c r="L49" s="1" t="str">
        <f>IFERROR(SMALL(IF((Ledger!$D$6:$D$205=$C$4)*IF($C$5="All Years",1,YEAR(Ledger!$A$6:$A$205)=IF($C$5="All Years",0,VALUE($C$5))),ROW(Ledger!$D$6:$D$205)-ROW(Ledger!$D$6)+1),9),"")</f>
        <v/>
      </c>
      <c r="M49" s="1"/>
    </row>
    <row r="50" spans="1:13" ht="20" customHeight="1" x14ac:dyDescent="0.35">
      <c r="A50" s="67" t="str">
        <f>IF($L49="","",9)</f>
        <v/>
      </c>
      <c r="B50" s="68" t="str">
        <f>IFERROR(IF($L49="","",INDEX(Ledger!$A$6:$A$205,$L49)),"—")</f>
        <v/>
      </c>
      <c r="C50" s="69" t="str">
        <f>IFERROR(IF($L49="","",INDEX(Ledger!$B$6:$B$205,$L49)),"—")</f>
        <v/>
      </c>
      <c r="D50" s="69" t="str">
        <f>IFERROR(IF($L49="","",INDEX(Ledger!$C$6:$C$205,$L49)),"—")</f>
        <v/>
      </c>
      <c r="E50" s="69" t="str">
        <f>IFERROR(IF($L49="","",INDEX(Ledger!$D$6:$D$205,$L49)),"—")</f>
        <v/>
      </c>
      <c r="F50" s="69" t="str">
        <f>IFERROR(IF($L49="","",INDEX(Ledger!$E$6:$E$205,$L49)),"—")</f>
        <v/>
      </c>
      <c r="G50" s="70" t="str">
        <f>IFERROR(IF($L49="","",INDEX(Ledger!$F$6:$F$205,$L49)),"—")</f>
        <v/>
      </c>
      <c r="H50" s="70" t="str">
        <f>IFERROR(IF($L49="","",INDEX(Ledger!$G$6:$G$205,$L49)),"—")</f>
        <v/>
      </c>
      <c r="I50" s="70" t="str">
        <f>IFERROR(IF($L49="","",INDEX(Ledger!$H$6:$H$205,$L49)),"—")</f>
        <v/>
      </c>
      <c r="J50" s="1"/>
      <c r="K50" s="1" t="str">
        <f>IFERROR(INDEX(Ledger!$D$6:$D$205,MATCH(0,COUNTIF($K$3:K49,Ledger!$D$6:$D$205),0)),"")</f>
        <v/>
      </c>
      <c r="L50" s="1" t="str">
        <f>IFERROR(SMALL(IF((Ledger!$D$6:$D$205=$C$4)*IF($C$5="All Years",1,YEAR(Ledger!$A$6:$A$205)=IF($C$5="All Years",0,VALUE($C$5))),ROW(Ledger!$D$6:$D$205)-ROW(Ledger!$D$6)+1),10),"")</f>
        <v/>
      </c>
      <c r="M50" s="1"/>
    </row>
    <row r="51" spans="1:13" ht="20" customHeight="1" x14ac:dyDescent="0.35">
      <c r="A51" s="71" t="str">
        <f>IF($L50="","",10)</f>
        <v/>
      </c>
      <c r="B51" s="72" t="str">
        <f>IFERROR(IF($L50="","",INDEX(Ledger!$A$6:$A$205,$L50)),"—")</f>
        <v/>
      </c>
      <c r="C51" s="73" t="str">
        <f>IFERROR(IF($L50="","",INDEX(Ledger!$B$6:$B$205,$L50)),"—")</f>
        <v/>
      </c>
      <c r="D51" s="73" t="str">
        <f>IFERROR(IF($L50="","",INDEX(Ledger!$C$6:$C$205,$L50)),"—")</f>
        <v/>
      </c>
      <c r="E51" s="73" t="str">
        <f>IFERROR(IF($L50="","",INDEX(Ledger!$D$6:$D$205,$L50)),"—")</f>
        <v/>
      </c>
      <c r="F51" s="73" t="str">
        <f>IFERROR(IF($L50="","",INDEX(Ledger!$E$6:$E$205,$L50)),"—")</f>
        <v/>
      </c>
      <c r="G51" s="74" t="str">
        <f>IFERROR(IF($L50="","",INDEX(Ledger!$F$6:$F$205,$L50)),"—")</f>
        <v/>
      </c>
      <c r="H51" s="74" t="str">
        <f>IFERROR(IF($L50="","",INDEX(Ledger!$G$6:$G$205,$L50)),"—")</f>
        <v/>
      </c>
      <c r="I51" s="74" t="str">
        <f>IFERROR(IF($L50="","",INDEX(Ledger!$H$6:$H$205,$L50)),"—")</f>
        <v/>
      </c>
      <c r="J51" s="1"/>
      <c r="K51" s="1" t="str">
        <f>IFERROR(INDEX(Ledger!$D$6:$D$205,MATCH(0,COUNTIF($K$3:K50,Ledger!$D$6:$D$205),0)),"")</f>
        <v/>
      </c>
      <c r="L51" s="1" t="str">
        <f>IFERROR(SMALL(IF((Ledger!$D$6:$D$205=$C$4)*IF($C$5="All Years",1,YEAR(Ledger!$A$6:$A$205)=IF($C$5="All Years",0,VALUE($C$5))),ROW(Ledger!$D$6:$D$205)-ROW(Ledger!$D$6)+1),11),"")</f>
        <v/>
      </c>
      <c r="M51" s="1"/>
    </row>
    <row r="52" spans="1:13" ht="20" customHeight="1" x14ac:dyDescent="0.35">
      <c r="A52" s="67" t="str">
        <f>IF($L51="","",11)</f>
        <v/>
      </c>
      <c r="B52" s="68" t="str">
        <f>IFERROR(IF($L51="","",INDEX(Ledger!$A$6:$A$205,$L51)),"—")</f>
        <v/>
      </c>
      <c r="C52" s="69" t="str">
        <f>IFERROR(IF($L51="","",INDEX(Ledger!$B$6:$B$205,$L51)),"—")</f>
        <v/>
      </c>
      <c r="D52" s="69" t="str">
        <f>IFERROR(IF($L51="","",INDEX(Ledger!$C$6:$C$205,$L51)),"—")</f>
        <v/>
      </c>
      <c r="E52" s="69" t="str">
        <f>IFERROR(IF($L51="","",INDEX(Ledger!$D$6:$D$205,$L51)),"—")</f>
        <v/>
      </c>
      <c r="F52" s="69" t="str">
        <f>IFERROR(IF($L51="","",INDEX(Ledger!$E$6:$E$205,$L51)),"—")</f>
        <v/>
      </c>
      <c r="G52" s="70" t="str">
        <f>IFERROR(IF($L51="","",INDEX(Ledger!$F$6:$F$205,$L51)),"—")</f>
        <v/>
      </c>
      <c r="H52" s="70" t="str">
        <f>IFERROR(IF($L51="","",INDEX(Ledger!$G$6:$G$205,$L51)),"—")</f>
        <v/>
      </c>
      <c r="I52" s="70" t="str">
        <f>IFERROR(IF($L51="","",INDEX(Ledger!$H$6:$H$205,$L51)),"—")</f>
        <v/>
      </c>
      <c r="J52" s="1"/>
      <c r="K52" s="1" t="str">
        <f>IFERROR(INDEX(Ledger!$D$6:$D$205,MATCH(0,COUNTIF($K$3:K51,Ledger!$D$6:$D$205),0)),"")</f>
        <v/>
      </c>
      <c r="L52" s="1" t="str">
        <f>IFERROR(SMALL(IF((Ledger!$D$6:$D$205=$C$4)*IF($C$5="All Years",1,YEAR(Ledger!$A$6:$A$205)=IF($C$5="All Years",0,VALUE($C$5))),ROW(Ledger!$D$6:$D$205)-ROW(Ledger!$D$6)+1),12),"")</f>
        <v/>
      </c>
      <c r="M52" s="1"/>
    </row>
    <row r="53" spans="1:13" ht="20" customHeight="1" x14ac:dyDescent="0.35">
      <c r="A53" s="71" t="str">
        <f>IF($L52="","",12)</f>
        <v/>
      </c>
      <c r="B53" s="72" t="str">
        <f>IFERROR(IF($L52="","",INDEX(Ledger!$A$6:$A$205,$L52)),"—")</f>
        <v/>
      </c>
      <c r="C53" s="73" t="str">
        <f>IFERROR(IF($L52="","",INDEX(Ledger!$B$6:$B$205,$L52)),"—")</f>
        <v/>
      </c>
      <c r="D53" s="73" t="str">
        <f>IFERROR(IF($L52="","",INDEX(Ledger!$C$6:$C$205,$L52)),"—")</f>
        <v/>
      </c>
      <c r="E53" s="73" t="str">
        <f>IFERROR(IF($L52="","",INDEX(Ledger!$D$6:$D$205,$L52)),"—")</f>
        <v/>
      </c>
      <c r="F53" s="73" t="str">
        <f>IFERROR(IF($L52="","",INDEX(Ledger!$E$6:$E$205,$L52)),"—")</f>
        <v/>
      </c>
      <c r="G53" s="74" t="str">
        <f>IFERROR(IF($L52="","",INDEX(Ledger!$F$6:$F$205,$L52)),"—")</f>
        <v/>
      </c>
      <c r="H53" s="74" t="str">
        <f>IFERROR(IF($L52="","",INDEX(Ledger!$G$6:$G$205,$L52)),"—")</f>
        <v/>
      </c>
      <c r="I53" s="74" t="str">
        <f>IFERROR(IF($L52="","",INDEX(Ledger!$H$6:$H$205,$L52)),"—")</f>
        <v/>
      </c>
      <c r="J53" s="1"/>
      <c r="K53" s="1" t="str">
        <f>IFERROR(INDEX(Ledger!$D$6:$D$205,MATCH(0,COUNTIF($K$3:K52,Ledger!$D$6:$D$205),0)),"")</f>
        <v/>
      </c>
      <c r="L53" s="1" t="str">
        <f>IFERROR(SMALL(IF((Ledger!$D$6:$D$205=$C$4)*IF($C$5="All Years",1,YEAR(Ledger!$A$6:$A$205)=IF($C$5="All Years",0,VALUE($C$5))),ROW(Ledger!$D$6:$D$205)-ROW(Ledger!$D$6)+1),13),"")</f>
        <v/>
      </c>
      <c r="M53" s="1"/>
    </row>
    <row r="54" spans="1:13" ht="20" customHeight="1" x14ac:dyDescent="0.35">
      <c r="A54" s="67" t="str">
        <f>IF($L53="","",13)</f>
        <v/>
      </c>
      <c r="B54" s="68" t="str">
        <f>IFERROR(IF($L53="","",INDEX(Ledger!$A$6:$A$205,$L53)),"—")</f>
        <v/>
      </c>
      <c r="C54" s="69" t="str">
        <f>IFERROR(IF($L53="","",INDEX(Ledger!$B$6:$B$205,$L53)),"—")</f>
        <v/>
      </c>
      <c r="D54" s="69" t="str">
        <f>IFERROR(IF($L53="","",INDEX(Ledger!$C$6:$C$205,$L53)),"—")</f>
        <v/>
      </c>
      <c r="E54" s="69" t="str">
        <f>IFERROR(IF($L53="","",INDEX(Ledger!$D$6:$D$205,$L53)),"—")</f>
        <v/>
      </c>
      <c r="F54" s="69" t="str">
        <f>IFERROR(IF($L53="","",INDEX(Ledger!$E$6:$E$205,$L53)),"—")</f>
        <v/>
      </c>
      <c r="G54" s="70" t="str">
        <f>IFERROR(IF($L53="","",INDEX(Ledger!$F$6:$F$205,$L53)),"—")</f>
        <v/>
      </c>
      <c r="H54" s="70" t="str">
        <f>IFERROR(IF($L53="","",INDEX(Ledger!$G$6:$G$205,$L53)),"—")</f>
        <v/>
      </c>
      <c r="I54" s="70" t="str">
        <f>IFERROR(IF($L53="","",INDEX(Ledger!$H$6:$H$205,$L53)),"—")</f>
        <v/>
      </c>
      <c r="J54" s="1"/>
      <c r="K54" s="1"/>
      <c r="L54" s="1" t="str">
        <f>IFERROR(SMALL(IF((Ledger!$D$6:$D$205=$C$4)*IF($C$5="All Years",1,YEAR(Ledger!$A$6:$A$205)=IF($C$5="All Years",0,VALUE($C$5))),ROW(Ledger!$D$6:$D$205)-ROW(Ledger!$D$6)+1),14),"")</f>
        <v/>
      </c>
      <c r="M54" s="1"/>
    </row>
    <row r="55" spans="1:13" ht="20" customHeight="1" x14ac:dyDescent="0.35">
      <c r="A55" s="71" t="str">
        <f>IF($L54="","",14)</f>
        <v/>
      </c>
      <c r="B55" s="72" t="str">
        <f>IFERROR(IF($L54="","",INDEX(Ledger!$A$6:$A$205,$L54)),"—")</f>
        <v/>
      </c>
      <c r="C55" s="73" t="str">
        <f>IFERROR(IF($L54="","",INDEX(Ledger!$B$6:$B$205,$L54)),"—")</f>
        <v/>
      </c>
      <c r="D55" s="73" t="str">
        <f>IFERROR(IF($L54="","",INDEX(Ledger!$C$6:$C$205,$L54)),"—")</f>
        <v/>
      </c>
      <c r="E55" s="73" t="str">
        <f>IFERROR(IF($L54="","",INDEX(Ledger!$D$6:$D$205,$L54)),"—")</f>
        <v/>
      </c>
      <c r="F55" s="73" t="str">
        <f>IFERROR(IF($L54="","",INDEX(Ledger!$E$6:$E$205,$L54)),"—")</f>
        <v/>
      </c>
      <c r="G55" s="74" t="str">
        <f>IFERROR(IF($L54="","",INDEX(Ledger!$F$6:$F$205,$L54)),"—")</f>
        <v/>
      </c>
      <c r="H55" s="74" t="str">
        <f>IFERROR(IF($L54="","",INDEX(Ledger!$G$6:$G$205,$L54)),"—")</f>
        <v/>
      </c>
      <c r="I55" s="74" t="str">
        <f>IFERROR(IF($L54="","",INDEX(Ledger!$H$6:$H$205,$L54)),"—")</f>
        <v/>
      </c>
      <c r="J55" s="1"/>
      <c r="K55" s="1"/>
      <c r="L55" s="1" t="str">
        <f>IFERROR(SMALL(IF((Ledger!$D$6:$D$205=$C$4)*IF($C$5="All Years",1,YEAR(Ledger!$A$6:$A$205)=IF($C$5="All Years",0,VALUE($C$5))),ROW(Ledger!$D$6:$D$205)-ROW(Ledger!$D$6)+1),15),"")</f>
        <v/>
      </c>
      <c r="M55" s="1"/>
    </row>
    <row r="56" spans="1:13" ht="20" customHeight="1" x14ac:dyDescent="0.35">
      <c r="A56" s="67" t="str">
        <f>IF($L55="","",15)</f>
        <v/>
      </c>
      <c r="B56" s="68" t="str">
        <f>IFERROR(IF($L55="","",INDEX(Ledger!$A$6:$A$205,$L55)),"—")</f>
        <v/>
      </c>
      <c r="C56" s="69" t="str">
        <f>IFERROR(IF($L55="","",INDEX(Ledger!$B$6:$B$205,$L55)),"—")</f>
        <v/>
      </c>
      <c r="D56" s="69" t="str">
        <f>IFERROR(IF($L55="","",INDEX(Ledger!$C$6:$C$205,$L55)),"—")</f>
        <v/>
      </c>
      <c r="E56" s="69" t="str">
        <f>IFERROR(IF($L55="","",INDEX(Ledger!$D$6:$D$205,$L55)),"—")</f>
        <v/>
      </c>
      <c r="F56" s="69" t="str">
        <f>IFERROR(IF($L55="","",INDEX(Ledger!$E$6:$E$205,$L55)),"—")</f>
        <v/>
      </c>
      <c r="G56" s="70" t="str">
        <f>IFERROR(IF($L55="","",INDEX(Ledger!$F$6:$F$205,$L55)),"—")</f>
        <v/>
      </c>
      <c r="H56" s="70" t="str">
        <f>IFERROR(IF($L55="","",INDEX(Ledger!$G$6:$G$205,$L55)),"—")</f>
        <v/>
      </c>
      <c r="I56" s="70" t="str">
        <f>IFERROR(IF($L55="","",INDEX(Ledger!$H$6:$H$205,$L55)),"—")</f>
        <v/>
      </c>
      <c r="J56" s="1"/>
      <c r="K56" s="1"/>
      <c r="L56" s="1" t="str">
        <f>IFERROR(SMALL(IF((Ledger!$D$6:$D$205=$C$4)*IF($C$5="All Years",1,YEAR(Ledger!$A$6:$A$205)=IF($C$5="All Years",0,VALUE($C$5))),ROW(Ledger!$D$6:$D$205)-ROW(Ledger!$D$6)+1),16),"")</f>
        <v/>
      </c>
      <c r="M56" s="1"/>
    </row>
    <row r="57" spans="1:13" ht="20" customHeight="1" x14ac:dyDescent="0.35">
      <c r="A57" s="71" t="str">
        <f>IF($L56="","",16)</f>
        <v/>
      </c>
      <c r="B57" s="72" t="str">
        <f>IFERROR(IF($L56="","",INDEX(Ledger!$A$6:$A$205,$L56)),"—")</f>
        <v/>
      </c>
      <c r="C57" s="73" t="str">
        <f>IFERROR(IF($L56="","",INDEX(Ledger!$B$6:$B$205,$L56)),"—")</f>
        <v/>
      </c>
      <c r="D57" s="73" t="str">
        <f>IFERROR(IF($L56="","",INDEX(Ledger!$C$6:$C$205,$L56)),"—")</f>
        <v/>
      </c>
      <c r="E57" s="73" t="str">
        <f>IFERROR(IF($L56="","",INDEX(Ledger!$D$6:$D$205,$L56)),"—")</f>
        <v/>
      </c>
      <c r="F57" s="73" t="str">
        <f>IFERROR(IF($L56="","",INDEX(Ledger!$E$6:$E$205,$L56)),"—")</f>
        <v/>
      </c>
      <c r="G57" s="74" t="str">
        <f>IFERROR(IF($L56="","",INDEX(Ledger!$F$6:$F$205,$L56)),"—")</f>
        <v/>
      </c>
      <c r="H57" s="74" t="str">
        <f>IFERROR(IF($L56="","",INDEX(Ledger!$G$6:$G$205,$L56)),"—")</f>
        <v/>
      </c>
      <c r="I57" s="74" t="str">
        <f>IFERROR(IF($L56="","",INDEX(Ledger!$H$6:$H$205,$L56)),"—")</f>
        <v/>
      </c>
      <c r="J57" s="1"/>
      <c r="K57" s="1"/>
      <c r="L57" s="1" t="str">
        <f>IFERROR(SMALL(IF((Ledger!$D$6:$D$205=$C$4)*IF($C$5="All Years",1,YEAR(Ledger!$A$6:$A$205)=IF($C$5="All Years",0,VALUE($C$5))),ROW(Ledger!$D$6:$D$205)-ROW(Ledger!$D$6)+1),17),"")</f>
        <v/>
      </c>
      <c r="M57" s="1"/>
    </row>
    <row r="58" spans="1:13" ht="20" customHeight="1" x14ac:dyDescent="0.35">
      <c r="A58" s="67" t="str">
        <f>IF($L57="","",17)</f>
        <v/>
      </c>
      <c r="B58" s="68" t="str">
        <f>IFERROR(IF($L57="","",INDEX(Ledger!$A$6:$A$205,$L57)),"—")</f>
        <v/>
      </c>
      <c r="C58" s="69" t="str">
        <f>IFERROR(IF($L57="","",INDEX(Ledger!$B$6:$B$205,$L57)),"—")</f>
        <v/>
      </c>
      <c r="D58" s="69" t="str">
        <f>IFERROR(IF($L57="","",INDEX(Ledger!$C$6:$C$205,$L57)),"—")</f>
        <v/>
      </c>
      <c r="E58" s="69" t="str">
        <f>IFERROR(IF($L57="","",INDEX(Ledger!$D$6:$D$205,$L57)),"—")</f>
        <v/>
      </c>
      <c r="F58" s="69" t="str">
        <f>IFERROR(IF($L57="","",INDEX(Ledger!$E$6:$E$205,$L57)),"—")</f>
        <v/>
      </c>
      <c r="G58" s="70" t="str">
        <f>IFERROR(IF($L57="","",INDEX(Ledger!$F$6:$F$205,$L57)),"—")</f>
        <v/>
      </c>
      <c r="H58" s="70" t="str">
        <f>IFERROR(IF($L57="","",INDEX(Ledger!$G$6:$G$205,$L57)),"—")</f>
        <v/>
      </c>
      <c r="I58" s="70" t="str">
        <f>IFERROR(IF($L57="","",INDEX(Ledger!$H$6:$H$205,$L57)),"—")</f>
        <v/>
      </c>
      <c r="J58" s="1"/>
      <c r="K58" s="1"/>
      <c r="L58" s="1" t="str">
        <f>IFERROR(SMALL(IF((Ledger!$D$6:$D$205=$C$4)*IF($C$5="All Years",1,YEAR(Ledger!$A$6:$A$205)=IF($C$5="All Years",0,VALUE($C$5))),ROW(Ledger!$D$6:$D$205)-ROW(Ledger!$D$6)+1),18),"")</f>
        <v/>
      </c>
      <c r="M58" s="1"/>
    </row>
    <row r="59" spans="1:13" ht="20" customHeight="1" x14ac:dyDescent="0.35">
      <c r="A59" s="71" t="str">
        <f>IF($L58="","",18)</f>
        <v/>
      </c>
      <c r="B59" s="72" t="str">
        <f>IFERROR(IF($L58="","",INDEX(Ledger!$A$6:$A$205,$L58)),"—")</f>
        <v/>
      </c>
      <c r="C59" s="73" t="str">
        <f>IFERROR(IF($L58="","",INDEX(Ledger!$B$6:$B$205,$L58)),"—")</f>
        <v/>
      </c>
      <c r="D59" s="73" t="str">
        <f>IFERROR(IF($L58="","",INDEX(Ledger!$C$6:$C$205,$L58)),"—")</f>
        <v/>
      </c>
      <c r="E59" s="73" t="str">
        <f>IFERROR(IF($L58="","",INDEX(Ledger!$D$6:$D$205,$L58)),"—")</f>
        <v/>
      </c>
      <c r="F59" s="73" t="str">
        <f>IFERROR(IF($L58="","",INDEX(Ledger!$E$6:$E$205,$L58)),"—")</f>
        <v/>
      </c>
      <c r="G59" s="74" t="str">
        <f>IFERROR(IF($L58="","",INDEX(Ledger!$F$6:$F$205,$L58)),"—")</f>
        <v/>
      </c>
      <c r="H59" s="74" t="str">
        <f>IFERROR(IF($L58="","",INDEX(Ledger!$G$6:$G$205,$L58)),"—")</f>
        <v/>
      </c>
      <c r="I59" s="74" t="str">
        <f>IFERROR(IF($L58="","",INDEX(Ledger!$H$6:$H$205,$L58)),"—")</f>
        <v/>
      </c>
      <c r="J59" s="1"/>
      <c r="K59" s="1"/>
      <c r="L59" s="1" t="str">
        <f>IFERROR(SMALL(IF((Ledger!$D$6:$D$205=$C$4)*IF($C$5="All Years",1,YEAR(Ledger!$A$6:$A$205)=IF($C$5="All Years",0,VALUE($C$5))),ROW(Ledger!$D$6:$D$205)-ROW(Ledger!$D$6)+1),19),"")</f>
        <v/>
      </c>
      <c r="M59" s="1"/>
    </row>
    <row r="60" spans="1:13" ht="20" customHeight="1" x14ac:dyDescent="0.35">
      <c r="A60" s="67" t="str">
        <f>IF($L59="","",19)</f>
        <v/>
      </c>
      <c r="B60" s="68" t="str">
        <f>IFERROR(IF($L59="","",INDEX(Ledger!$A$6:$A$205,$L59)),"—")</f>
        <v/>
      </c>
      <c r="C60" s="69" t="str">
        <f>IFERROR(IF($L59="","",INDEX(Ledger!$B$6:$B$205,$L59)),"—")</f>
        <v/>
      </c>
      <c r="D60" s="69" t="str">
        <f>IFERROR(IF($L59="","",INDEX(Ledger!$C$6:$C$205,$L59)),"—")</f>
        <v/>
      </c>
      <c r="E60" s="69" t="str">
        <f>IFERROR(IF($L59="","",INDEX(Ledger!$D$6:$D$205,$L59)),"—")</f>
        <v/>
      </c>
      <c r="F60" s="69" t="str">
        <f>IFERROR(IF($L59="","",INDEX(Ledger!$E$6:$E$205,$L59)),"—")</f>
        <v/>
      </c>
      <c r="G60" s="70" t="str">
        <f>IFERROR(IF($L59="","",INDEX(Ledger!$F$6:$F$205,$L59)),"—")</f>
        <v/>
      </c>
      <c r="H60" s="70" t="str">
        <f>IFERROR(IF($L59="","",INDEX(Ledger!$G$6:$G$205,$L59)),"—")</f>
        <v/>
      </c>
      <c r="I60" s="70" t="str">
        <f>IFERROR(IF($L59="","",INDEX(Ledger!$H$6:$H$205,$L59)),"—")</f>
        <v/>
      </c>
      <c r="J60" s="1"/>
      <c r="K60" s="1"/>
      <c r="L60" s="1" t="str">
        <f>IFERROR(SMALL(IF((Ledger!$D$6:$D$205=$C$4)*IF($C$5="All Years",1,YEAR(Ledger!$A$6:$A$205)=IF($C$5="All Years",0,VALUE($C$5))),ROW(Ledger!$D$6:$D$205)-ROW(Ledger!$D$6)+1),20),"")</f>
        <v/>
      </c>
      <c r="M60" s="1"/>
    </row>
    <row r="61" spans="1:13" ht="20" customHeight="1" x14ac:dyDescent="0.35">
      <c r="A61" s="71" t="str">
        <f>IF($L60="","",20)</f>
        <v/>
      </c>
      <c r="B61" s="72" t="str">
        <f>IFERROR(IF($L60="","",INDEX(Ledger!$A$6:$A$205,$L60)),"—")</f>
        <v/>
      </c>
      <c r="C61" s="73" t="str">
        <f>IFERROR(IF($L60="","",INDEX(Ledger!$B$6:$B$205,$L60)),"—")</f>
        <v/>
      </c>
      <c r="D61" s="73" t="str">
        <f>IFERROR(IF($L60="","",INDEX(Ledger!$C$6:$C$205,$L60)),"—")</f>
        <v/>
      </c>
      <c r="E61" s="73" t="str">
        <f>IFERROR(IF($L60="","",INDEX(Ledger!$D$6:$D$205,$L60)),"—")</f>
        <v/>
      </c>
      <c r="F61" s="73" t="str">
        <f>IFERROR(IF($L60="","",INDEX(Ledger!$E$6:$E$205,$L60)),"—")</f>
        <v/>
      </c>
      <c r="G61" s="74" t="str">
        <f>IFERROR(IF($L60="","",INDEX(Ledger!$F$6:$F$205,$L60)),"—")</f>
        <v/>
      </c>
      <c r="H61" s="74" t="str">
        <f>IFERROR(IF($L60="","",INDEX(Ledger!$G$6:$G$205,$L60)),"—")</f>
        <v/>
      </c>
      <c r="I61" s="74" t="str">
        <f>IFERROR(IF($L60="","",INDEX(Ledger!$H$6:$H$205,$L60)),"—")</f>
        <v/>
      </c>
      <c r="J61" s="1"/>
      <c r="K61" s="1"/>
      <c r="L61" s="1" t="str">
        <f>IFERROR(SMALL(IF((Ledger!$D$6:$D$205=$C$4)*IF($C$5="All Years",1,YEAR(Ledger!$A$6:$A$205)=IF($C$5="All Years",0,VALUE($C$5))),ROW(Ledger!$D$6:$D$205)-ROW(Ledger!$D$6)+1),21),"")</f>
        <v/>
      </c>
      <c r="M61" s="1"/>
    </row>
    <row r="62" spans="1:13" ht="20" customHeight="1" x14ac:dyDescent="0.35">
      <c r="A62" s="67" t="str">
        <f>IF($L61="","",21)</f>
        <v/>
      </c>
      <c r="B62" s="68" t="str">
        <f>IFERROR(IF($L61="","",INDEX(Ledger!$A$6:$A$205,$L61)),"—")</f>
        <v/>
      </c>
      <c r="C62" s="69" t="str">
        <f>IFERROR(IF($L61="","",INDEX(Ledger!$B$6:$B$205,$L61)),"—")</f>
        <v/>
      </c>
      <c r="D62" s="69" t="str">
        <f>IFERROR(IF($L61="","",INDEX(Ledger!$C$6:$C$205,$L61)),"—")</f>
        <v/>
      </c>
      <c r="E62" s="69" t="str">
        <f>IFERROR(IF($L61="","",INDEX(Ledger!$D$6:$D$205,$L61)),"—")</f>
        <v/>
      </c>
      <c r="F62" s="69" t="str">
        <f>IFERROR(IF($L61="","",INDEX(Ledger!$E$6:$E$205,$L61)),"—")</f>
        <v/>
      </c>
      <c r="G62" s="70" t="str">
        <f>IFERROR(IF($L61="","",INDEX(Ledger!$F$6:$F$205,$L61)),"—")</f>
        <v/>
      </c>
      <c r="H62" s="70" t="str">
        <f>IFERROR(IF($L61="","",INDEX(Ledger!$G$6:$G$205,$L61)),"—")</f>
        <v/>
      </c>
      <c r="I62" s="70" t="str">
        <f>IFERROR(IF($L61="","",INDEX(Ledger!$H$6:$H$205,$L61)),"—")</f>
        <v/>
      </c>
      <c r="J62" s="1"/>
      <c r="K62" s="1"/>
      <c r="L62" s="1" t="str">
        <f>IFERROR(SMALL(IF((Ledger!$D$6:$D$205=$C$4)*IF($C$5="All Years",1,YEAR(Ledger!$A$6:$A$205)=IF($C$5="All Years",0,VALUE($C$5))),ROW(Ledger!$D$6:$D$205)-ROW(Ledger!$D$6)+1),22),"")</f>
        <v/>
      </c>
      <c r="M62" s="1"/>
    </row>
    <row r="63" spans="1:13" ht="20" customHeight="1" x14ac:dyDescent="0.35">
      <c r="A63" s="71" t="str">
        <f>IF($L62="","",22)</f>
        <v/>
      </c>
      <c r="B63" s="72" t="str">
        <f>IFERROR(IF($L62="","",INDEX(Ledger!$A$6:$A$205,$L62)),"—")</f>
        <v/>
      </c>
      <c r="C63" s="73" t="str">
        <f>IFERROR(IF($L62="","",INDEX(Ledger!$B$6:$B$205,$L62)),"—")</f>
        <v/>
      </c>
      <c r="D63" s="73" t="str">
        <f>IFERROR(IF($L62="","",INDEX(Ledger!$C$6:$C$205,$L62)),"—")</f>
        <v/>
      </c>
      <c r="E63" s="73" t="str">
        <f>IFERROR(IF($L62="","",INDEX(Ledger!$D$6:$D$205,$L62)),"—")</f>
        <v/>
      </c>
      <c r="F63" s="73" t="str">
        <f>IFERROR(IF($L62="","",INDEX(Ledger!$E$6:$E$205,$L62)),"—")</f>
        <v/>
      </c>
      <c r="G63" s="74" t="str">
        <f>IFERROR(IF($L62="","",INDEX(Ledger!$F$6:$F$205,$L62)),"—")</f>
        <v/>
      </c>
      <c r="H63" s="74" t="str">
        <f>IFERROR(IF($L62="","",INDEX(Ledger!$G$6:$G$205,$L62)),"—")</f>
        <v/>
      </c>
      <c r="I63" s="74" t="str">
        <f>IFERROR(IF($L62="","",INDEX(Ledger!$H$6:$H$205,$L62)),"—")</f>
        <v/>
      </c>
      <c r="J63" s="1"/>
      <c r="K63" s="1"/>
      <c r="L63" s="1" t="str">
        <f>IFERROR(SMALL(IF((Ledger!$D$6:$D$205=$C$4)*IF($C$5="All Years",1,YEAR(Ledger!$A$6:$A$205)=IF($C$5="All Years",0,VALUE($C$5))),ROW(Ledger!$D$6:$D$205)-ROW(Ledger!$D$6)+1),23),"")</f>
        <v/>
      </c>
      <c r="M63" s="1"/>
    </row>
    <row r="64" spans="1:13" ht="20" customHeight="1" x14ac:dyDescent="0.35">
      <c r="A64" s="67" t="str">
        <f>IF($L63="","",23)</f>
        <v/>
      </c>
      <c r="B64" s="68" t="str">
        <f>IFERROR(IF($L63="","",INDEX(Ledger!$A$6:$A$205,$L63)),"—")</f>
        <v/>
      </c>
      <c r="C64" s="69" t="str">
        <f>IFERROR(IF($L63="","",INDEX(Ledger!$B$6:$B$205,$L63)),"—")</f>
        <v/>
      </c>
      <c r="D64" s="69" t="str">
        <f>IFERROR(IF($L63="","",INDEX(Ledger!$C$6:$C$205,$L63)),"—")</f>
        <v/>
      </c>
      <c r="E64" s="69" t="str">
        <f>IFERROR(IF($L63="","",INDEX(Ledger!$D$6:$D$205,$L63)),"—")</f>
        <v/>
      </c>
      <c r="F64" s="69" t="str">
        <f>IFERROR(IF($L63="","",INDEX(Ledger!$E$6:$E$205,$L63)),"—")</f>
        <v/>
      </c>
      <c r="G64" s="70" t="str">
        <f>IFERROR(IF($L63="","",INDEX(Ledger!$F$6:$F$205,$L63)),"—")</f>
        <v/>
      </c>
      <c r="H64" s="70" t="str">
        <f>IFERROR(IF($L63="","",INDEX(Ledger!$G$6:$G$205,$L63)),"—")</f>
        <v/>
      </c>
      <c r="I64" s="70" t="str">
        <f>IFERROR(IF($L63="","",INDEX(Ledger!$H$6:$H$205,$L63)),"—")</f>
        <v/>
      </c>
      <c r="J64" s="1"/>
      <c r="K64" s="1"/>
      <c r="L64" s="1" t="str">
        <f>IFERROR(SMALL(IF((Ledger!$D$6:$D$205=$C$4)*IF($C$5="All Years",1,YEAR(Ledger!$A$6:$A$205)=IF($C$5="All Years",0,VALUE($C$5))),ROW(Ledger!$D$6:$D$205)-ROW(Ledger!$D$6)+1),24),"")</f>
        <v/>
      </c>
      <c r="M64" s="1"/>
    </row>
    <row r="65" spans="1:13" ht="20" customHeight="1" x14ac:dyDescent="0.35">
      <c r="A65" s="71" t="str">
        <f>IF($L64="","",24)</f>
        <v/>
      </c>
      <c r="B65" s="72" t="str">
        <f>IFERROR(IF($L64="","",INDEX(Ledger!$A$6:$A$205,$L64)),"—")</f>
        <v/>
      </c>
      <c r="C65" s="73" t="str">
        <f>IFERROR(IF($L64="","",INDEX(Ledger!$B$6:$B$205,$L64)),"—")</f>
        <v/>
      </c>
      <c r="D65" s="73" t="str">
        <f>IFERROR(IF($L64="","",INDEX(Ledger!$C$6:$C$205,$L64)),"—")</f>
        <v/>
      </c>
      <c r="E65" s="73" t="str">
        <f>IFERROR(IF($L64="","",INDEX(Ledger!$D$6:$D$205,$L64)),"—")</f>
        <v/>
      </c>
      <c r="F65" s="73" t="str">
        <f>IFERROR(IF($L64="","",INDEX(Ledger!$E$6:$E$205,$L64)),"—")</f>
        <v/>
      </c>
      <c r="G65" s="74" t="str">
        <f>IFERROR(IF($L64="","",INDEX(Ledger!$F$6:$F$205,$L64)),"—")</f>
        <v/>
      </c>
      <c r="H65" s="74" t="str">
        <f>IFERROR(IF($L64="","",INDEX(Ledger!$G$6:$G$205,$L64)),"—")</f>
        <v/>
      </c>
      <c r="I65" s="74" t="str">
        <f>IFERROR(IF($L64="","",INDEX(Ledger!$H$6:$H$205,$L64)),"—")</f>
        <v/>
      </c>
      <c r="J65" s="1"/>
      <c r="K65" s="1"/>
      <c r="L65" s="1" t="str">
        <f>IFERROR(SMALL(IF((Ledger!$D$6:$D$205=$C$4)*IF($C$5="All Years",1,YEAR(Ledger!$A$6:$A$205)=IF($C$5="All Years",0,VALUE($C$5))),ROW(Ledger!$D$6:$D$205)-ROW(Ledger!$D$6)+1),25),"")</f>
        <v/>
      </c>
      <c r="M65" s="1"/>
    </row>
    <row r="66" spans="1:13" ht="20" customHeight="1" x14ac:dyDescent="0.35">
      <c r="A66" s="67" t="str">
        <f>IF($L65="","",25)</f>
        <v/>
      </c>
      <c r="B66" s="68" t="str">
        <f>IFERROR(IF($L65="","",INDEX(Ledger!$A$6:$A$205,$L65)),"—")</f>
        <v/>
      </c>
      <c r="C66" s="69" t="str">
        <f>IFERROR(IF($L65="","",INDEX(Ledger!$B$6:$B$205,$L65)),"—")</f>
        <v/>
      </c>
      <c r="D66" s="69" t="str">
        <f>IFERROR(IF($L65="","",INDEX(Ledger!$C$6:$C$205,$L65)),"—")</f>
        <v/>
      </c>
      <c r="E66" s="69" t="str">
        <f>IFERROR(IF($L65="","",INDEX(Ledger!$D$6:$D$205,$L65)),"—")</f>
        <v/>
      </c>
      <c r="F66" s="69" t="str">
        <f>IFERROR(IF($L65="","",INDEX(Ledger!$E$6:$E$205,$L65)),"—")</f>
        <v/>
      </c>
      <c r="G66" s="70" t="str">
        <f>IFERROR(IF($L65="","",INDEX(Ledger!$F$6:$F$205,$L65)),"—")</f>
        <v/>
      </c>
      <c r="H66" s="70" t="str">
        <f>IFERROR(IF($L65="","",INDEX(Ledger!$G$6:$G$205,$L65)),"—")</f>
        <v/>
      </c>
      <c r="I66" s="70" t="str">
        <f>IFERROR(IF($L65="","",INDEX(Ledger!$H$6:$H$205,$L65)),"—")</f>
        <v/>
      </c>
      <c r="J66" s="1"/>
      <c r="K66" s="1"/>
      <c r="L66" s="1" t="str">
        <f>IFERROR(SMALL(IF((Ledger!$D$6:$D$205=$C$4)*IF($C$5="All Years",1,YEAR(Ledger!$A$6:$A$205)=IF($C$5="All Years",0,VALUE($C$5))),ROW(Ledger!$D$6:$D$205)-ROW(Ledger!$D$6)+1),26),"")</f>
        <v/>
      </c>
      <c r="M66" s="1"/>
    </row>
    <row r="67" spans="1:13" ht="20" customHeight="1" x14ac:dyDescent="0.35">
      <c r="A67" s="71" t="str">
        <f>IF($L66="","",26)</f>
        <v/>
      </c>
      <c r="B67" s="72" t="str">
        <f>IFERROR(IF($L66="","",INDEX(Ledger!$A$6:$A$205,$L66)),"—")</f>
        <v/>
      </c>
      <c r="C67" s="73" t="str">
        <f>IFERROR(IF($L66="","",INDEX(Ledger!$B$6:$B$205,$L66)),"—")</f>
        <v/>
      </c>
      <c r="D67" s="73" t="str">
        <f>IFERROR(IF($L66="","",INDEX(Ledger!$C$6:$C$205,$L66)),"—")</f>
        <v/>
      </c>
      <c r="E67" s="73" t="str">
        <f>IFERROR(IF($L66="","",INDEX(Ledger!$D$6:$D$205,$L66)),"—")</f>
        <v/>
      </c>
      <c r="F67" s="73" t="str">
        <f>IFERROR(IF($L66="","",INDEX(Ledger!$E$6:$E$205,$L66)),"—")</f>
        <v/>
      </c>
      <c r="G67" s="74" t="str">
        <f>IFERROR(IF($L66="","",INDEX(Ledger!$F$6:$F$205,$L66)),"—")</f>
        <v/>
      </c>
      <c r="H67" s="74" t="str">
        <f>IFERROR(IF($L66="","",INDEX(Ledger!$G$6:$G$205,$L66)),"—")</f>
        <v/>
      </c>
      <c r="I67" s="74" t="str">
        <f>IFERROR(IF($L66="","",INDEX(Ledger!$H$6:$H$205,$L66)),"—")</f>
        <v/>
      </c>
      <c r="J67" s="1"/>
      <c r="K67" s="1"/>
      <c r="L67" s="1" t="str">
        <f>IFERROR(SMALL(IF((Ledger!$D$6:$D$205=$C$4)*IF($C$5="All Years",1,YEAR(Ledger!$A$6:$A$205)=IF($C$5="All Years",0,VALUE($C$5))),ROW(Ledger!$D$6:$D$205)-ROW(Ledger!$D$6)+1),27),"")</f>
        <v/>
      </c>
      <c r="M67" s="1"/>
    </row>
    <row r="68" spans="1:13" ht="20" customHeight="1" x14ac:dyDescent="0.35">
      <c r="A68" s="67" t="str">
        <f>IF($L67="","",27)</f>
        <v/>
      </c>
      <c r="B68" s="68" t="str">
        <f>IFERROR(IF($L67="","",INDEX(Ledger!$A$6:$A$205,$L67)),"—")</f>
        <v/>
      </c>
      <c r="C68" s="69" t="str">
        <f>IFERROR(IF($L67="","",INDEX(Ledger!$B$6:$B$205,$L67)),"—")</f>
        <v/>
      </c>
      <c r="D68" s="69" t="str">
        <f>IFERROR(IF($L67="","",INDEX(Ledger!$C$6:$C$205,$L67)),"—")</f>
        <v/>
      </c>
      <c r="E68" s="69" t="str">
        <f>IFERROR(IF($L67="","",INDEX(Ledger!$D$6:$D$205,$L67)),"—")</f>
        <v/>
      </c>
      <c r="F68" s="69" t="str">
        <f>IFERROR(IF($L67="","",INDEX(Ledger!$E$6:$E$205,$L67)),"—")</f>
        <v/>
      </c>
      <c r="G68" s="70" t="str">
        <f>IFERROR(IF($L67="","",INDEX(Ledger!$F$6:$F$205,$L67)),"—")</f>
        <v/>
      </c>
      <c r="H68" s="70" t="str">
        <f>IFERROR(IF($L67="","",INDEX(Ledger!$G$6:$G$205,$L67)),"—")</f>
        <v/>
      </c>
      <c r="I68" s="70" t="str">
        <f>IFERROR(IF($L67="","",INDEX(Ledger!$H$6:$H$205,$L67)),"—")</f>
        <v/>
      </c>
      <c r="J68" s="1"/>
      <c r="K68" s="1"/>
      <c r="L68" s="1" t="str">
        <f>IFERROR(SMALL(IF((Ledger!$D$6:$D$205=$C$4)*IF($C$5="All Years",1,YEAR(Ledger!$A$6:$A$205)=IF($C$5="All Years",0,VALUE($C$5))),ROW(Ledger!$D$6:$D$205)-ROW(Ledger!$D$6)+1),28),"")</f>
        <v/>
      </c>
      <c r="M68" s="1"/>
    </row>
    <row r="69" spans="1:13" ht="20" customHeight="1" x14ac:dyDescent="0.35">
      <c r="A69" s="71" t="str">
        <f>IF($L68="","",28)</f>
        <v/>
      </c>
      <c r="B69" s="72" t="str">
        <f>IFERROR(IF($L68="","",INDEX(Ledger!$A$6:$A$205,$L68)),"—")</f>
        <v/>
      </c>
      <c r="C69" s="73" t="str">
        <f>IFERROR(IF($L68="","",INDEX(Ledger!$B$6:$B$205,$L68)),"—")</f>
        <v/>
      </c>
      <c r="D69" s="73" t="str">
        <f>IFERROR(IF($L68="","",INDEX(Ledger!$C$6:$C$205,$L68)),"—")</f>
        <v/>
      </c>
      <c r="E69" s="73" t="str">
        <f>IFERROR(IF($L68="","",INDEX(Ledger!$D$6:$D$205,$L68)),"—")</f>
        <v/>
      </c>
      <c r="F69" s="73" t="str">
        <f>IFERROR(IF($L68="","",INDEX(Ledger!$E$6:$E$205,$L68)),"—")</f>
        <v/>
      </c>
      <c r="G69" s="74" t="str">
        <f>IFERROR(IF($L68="","",INDEX(Ledger!$F$6:$F$205,$L68)),"—")</f>
        <v/>
      </c>
      <c r="H69" s="74" t="str">
        <f>IFERROR(IF($L68="","",INDEX(Ledger!$G$6:$G$205,$L68)),"—")</f>
        <v/>
      </c>
      <c r="I69" s="74" t="str">
        <f>IFERROR(IF($L68="","",INDEX(Ledger!$H$6:$H$205,$L68)),"—")</f>
        <v/>
      </c>
      <c r="J69" s="1"/>
      <c r="K69" s="1"/>
      <c r="L69" s="1" t="str">
        <f>IFERROR(SMALL(IF((Ledger!$D$6:$D$205=$C$4)*IF($C$5="All Years",1,YEAR(Ledger!$A$6:$A$205)=IF($C$5="All Years",0,VALUE($C$5))),ROW(Ledger!$D$6:$D$205)-ROW(Ledger!$D$6)+1),29),"")</f>
        <v/>
      </c>
      <c r="M69" s="1"/>
    </row>
    <row r="70" spans="1:13" ht="20" customHeight="1" x14ac:dyDescent="0.35">
      <c r="A70" s="67" t="str">
        <f>IF($L69="","",29)</f>
        <v/>
      </c>
      <c r="B70" s="68" t="str">
        <f>IFERROR(IF($L69="","",INDEX(Ledger!$A$6:$A$205,$L69)),"—")</f>
        <v/>
      </c>
      <c r="C70" s="69" t="str">
        <f>IFERROR(IF($L69="","",INDEX(Ledger!$B$6:$B$205,$L69)),"—")</f>
        <v/>
      </c>
      <c r="D70" s="69" t="str">
        <f>IFERROR(IF($L69="","",INDEX(Ledger!$C$6:$C$205,$L69)),"—")</f>
        <v/>
      </c>
      <c r="E70" s="69" t="str">
        <f>IFERROR(IF($L69="","",INDEX(Ledger!$D$6:$D$205,$L69)),"—")</f>
        <v/>
      </c>
      <c r="F70" s="69" t="str">
        <f>IFERROR(IF($L69="","",INDEX(Ledger!$E$6:$E$205,$L69)),"—")</f>
        <v/>
      </c>
      <c r="G70" s="70" t="str">
        <f>IFERROR(IF($L69="","",INDEX(Ledger!$F$6:$F$205,$L69)),"—")</f>
        <v/>
      </c>
      <c r="H70" s="70" t="str">
        <f>IFERROR(IF($L69="","",INDEX(Ledger!$G$6:$G$205,$L69)),"—")</f>
        <v/>
      </c>
      <c r="I70" s="70" t="str">
        <f>IFERROR(IF($L69="","",INDEX(Ledger!$H$6:$H$205,$L69)),"—")</f>
        <v/>
      </c>
      <c r="J70" s="1"/>
      <c r="K70" s="1"/>
      <c r="L70" s="1" t="str">
        <f>IFERROR(SMALL(IF((Ledger!$D$6:$D$205=$C$4)*IF($C$5="All Years",1,YEAR(Ledger!$A$6:$A$205)=IF($C$5="All Years",0,VALUE($C$5))),ROW(Ledger!$D$6:$D$205)-ROW(Ledger!$D$6)+1),30),"")</f>
        <v/>
      </c>
      <c r="M70" s="1"/>
    </row>
    <row r="71" spans="1:13" ht="20" customHeight="1" x14ac:dyDescent="0.35">
      <c r="A71" s="71" t="str">
        <f>IF($L70="","",30)</f>
        <v/>
      </c>
      <c r="B71" s="72" t="str">
        <f>IFERROR(IF($L70="","",INDEX(Ledger!$A$6:$A$205,$L70)),"—")</f>
        <v/>
      </c>
      <c r="C71" s="73" t="str">
        <f>IFERROR(IF($L70="","",INDEX(Ledger!$B$6:$B$205,$L70)),"—")</f>
        <v/>
      </c>
      <c r="D71" s="73" t="str">
        <f>IFERROR(IF($L70="","",INDEX(Ledger!$C$6:$C$205,$L70)),"—")</f>
        <v/>
      </c>
      <c r="E71" s="73" t="str">
        <f>IFERROR(IF($L70="","",INDEX(Ledger!$D$6:$D$205,$L70)),"—")</f>
        <v/>
      </c>
      <c r="F71" s="73" t="str">
        <f>IFERROR(IF($L70="","",INDEX(Ledger!$E$6:$E$205,$L70)),"—")</f>
        <v/>
      </c>
      <c r="G71" s="74" t="str">
        <f>IFERROR(IF($L70="","",INDEX(Ledger!$F$6:$F$205,$L70)),"—")</f>
        <v/>
      </c>
      <c r="H71" s="74" t="str">
        <f>IFERROR(IF($L70="","",INDEX(Ledger!$G$6:$G$205,$L70)),"—")</f>
        <v/>
      </c>
      <c r="I71" s="74" t="str">
        <f>IFERROR(IF($L70="","",INDEX(Ledger!$H$6:$H$205,$L70)),"—")</f>
        <v/>
      </c>
      <c r="J71" s="1"/>
      <c r="K71" s="1"/>
      <c r="L71" s="1" t="str">
        <f>IFERROR(SMALL(IF((Ledger!$D$6:$D$205=$C$4)*IF($C$5="All Years",1,YEAR(Ledger!$A$6:$A$205)=IF($C$5="All Years",0,VALUE($C$5))),ROW(Ledger!$D$6:$D$205)-ROW(Ledger!$D$6)+1),31),"")</f>
        <v/>
      </c>
      <c r="M71" s="1"/>
    </row>
    <row r="72" spans="1:13" ht="20" customHeight="1" x14ac:dyDescent="0.35">
      <c r="A72" s="67" t="str">
        <f>IF($L71="","",31)</f>
        <v/>
      </c>
      <c r="B72" s="68" t="str">
        <f>IFERROR(IF($L71="","",INDEX(Ledger!$A$6:$A$205,$L71)),"—")</f>
        <v/>
      </c>
      <c r="C72" s="69" t="str">
        <f>IFERROR(IF($L71="","",INDEX(Ledger!$B$6:$B$205,$L71)),"—")</f>
        <v/>
      </c>
      <c r="D72" s="69" t="str">
        <f>IFERROR(IF($L71="","",INDEX(Ledger!$C$6:$C$205,$L71)),"—")</f>
        <v/>
      </c>
      <c r="E72" s="69" t="str">
        <f>IFERROR(IF($L71="","",INDEX(Ledger!$D$6:$D$205,$L71)),"—")</f>
        <v/>
      </c>
      <c r="F72" s="69" t="str">
        <f>IFERROR(IF($L71="","",INDEX(Ledger!$E$6:$E$205,$L71)),"—")</f>
        <v/>
      </c>
      <c r="G72" s="70" t="str">
        <f>IFERROR(IF($L71="","",INDEX(Ledger!$F$6:$F$205,$L71)),"—")</f>
        <v/>
      </c>
      <c r="H72" s="70" t="str">
        <f>IFERROR(IF($L71="","",INDEX(Ledger!$G$6:$G$205,$L71)),"—")</f>
        <v/>
      </c>
      <c r="I72" s="70" t="str">
        <f>IFERROR(IF($L71="","",INDEX(Ledger!$H$6:$H$205,$L71)),"—")</f>
        <v/>
      </c>
      <c r="J72" s="1"/>
      <c r="K72" s="1"/>
      <c r="L72" s="1" t="str">
        <f>IFERROR(SMALL(IF((Ledger!$D$6:$D$205=$C$4)*IF($C$5="All Years",1,YEAR(Ledger!$A$6:$A$205)=IF($C$5="All Years",0,VALUE($C$5))),ROW(Ledger!$D$6:$D$205)-ROW(Ledger!$D$6)+1),32),"")</f>
        <v/>
      </c>
      <c r="M72" s="1"/>
    </row>
    <row r="73" spans="1:13" ht="20" customHeight="1" x14ac:dyDescent="0.35">
      <c r="A73" s="71" t="str">
        <f>IF($L72="","",32)</f>
        <v/>
      </c>
      <c r="B73" s="72" t="str">
        <f>IFERROR(IF($L72="","",INDEX(Ledger!$A$6:$A$205,$L72)),"—")</f>
        <v/>
      </c>
      <c r="C73" s="73" t="str">
        <f>IFERROR(IF($L72="","",INDEX(Ledger!$B$6:$B$205,$L72)),"—")</f>
        <v/>
      </c>
      <c r="D73" s="73" t="str">
        <f>IFERROR(IF($L72="","",INDEX(Ledger!$C$6:$C$205,$L72)),"—")</f>
        <v/>
      </c>
      <c r="E73" s="73" t="str">
        <f>IFERROR(IF($L72="","",INDEX(Ledger!$D$6:$D$205,$L72)),"—")</f>
        <v/>
      </c>
      <c r="F73" s="73" t="str">
        <f>IFERROR(IF($L72="","",INDEX(Ledger!$E$6:$E$205,$L72)),"—")</f>
        <v/>
      </c>
      <c r="G73" s="74" t="str">
        <f>IFERROR(IF($L72="","",INDEX(Ledger!$F$6:$F$205,$L72)),"—")</f>
        <v/>
      </c>
      <c r="H73" s="74" t="str">
        <f>IFERROR(IF($L72="","",INDEX(Ledger!$G$6:$G$205,$L72)),"—")</f>
        <v/>
      </c>
      <c r="I73" s="74" t="str">
        <f>IFERROR(IF($L72="","",INDEX(Ledger!$H$6:$H$205,$L72)),"—")</f>
        <v/>
      </c>
      <c r="J73" s="1"/>
      <c r="K73" s="1"/>
      <c r="L73" s="1" t="str">
        <f>IFERROR(SMALL(IF((Ledger!$D$6:$D$205=$C$4)*IF($C$5="All Years",1,YEAR(Ledger!$A$6:$A$205)=IF($C$5="All Years",0,VALUE($C$5))),ROW(Ledger!$D$6:$D$205)-ROW(Ledger!$D$6)+1),33),"")</f>
        <v/>
      </c>
      <c r="M73" s="1"/>
    </row>
    <row r="74" spans="1:13" ht="20" customHeight="1" x14ac:dyDescent="0.35">
      <c r="A74" s="67" t="str">
        <f>IF($L73="","",33)</f>
        <v/>
      </c>
      <c r="B74" s="68" t="str">
        <f>IFERROR(IF($L73="","",INDEX(Ledger!$A$6:$A$205,$L73)),"—")</f>
        <v/>
      </c>
      <c r="C74" s="69" t="str">
        <f>IFERROR(IF($L73="","",INDEX(Ledger!$B$6:$B$205,$L73)),"—")</f>
        <v/>
      </c>
      <c r="D74" s="69" t="str">
        <f>IFERROR(IF($L73="","",INDEX(Ledger!$C$6:$C$205,$L73)),"—")</f>
        <v/>
      </c>
      <c r="E74" s="69" t="str">
        <f>IFERROR(IF($L73="","",INDEX(Ledger!$D$6:$D$205,$L73)),"—")</f>
        <v/>
      </c>
      <c r="F74" s="69" t="str">
        <f>IFERROR(IF($L73="","",INDEX(Ledger!$E$6:$E$205,$L73)),"—")</f>
        <v/>
      </c>
      <c r="G74" s="70" t="str">
        <f>IFERROR(IF($L73="","",INDEX(Ledger!$F$6:$F$205,$L73)),"—")</f>
        <v/>
      </c>
      <c r="H74" s="70" t="str">
        <f>IFERROR(IF($L73="","",INDEX(Ledger!$G$6:$G$205,$L73)),"—")</f>
        <v/>
      </c>
      <c r="I74" s="70" t="str">
        <f>IFERROR(IF($L73="","",INDEX(Ledger!$H$6:$H$205,$L73)),"—")</f>
        <v/>
      </c>
      <c r="J74" s="1"/>
      <c r="K74" s="1"/>
      <c r="L74" s="1" t="str">
        <f>IFERROR(SMALL(IF((Ledger!$D$6:$D$205=$C$4)*IF($C$5="All Years",1,YEAR(Ledger!$A$6:$A$205)=IF($C$5="All Years",0,VALUE($C$5))),ROW(Ledger!$D$6:$D$205)-ROW(Ledger!$D$6)+1),34),"")</f>
        <v/>
      </c>
      <c r="M74" s="1"/>
    </row>
    <row r="75" spans="1:13" ht="20" customHeight="1" x14ac:dyDescent="0.35">
      <c r="A75" s="71" t="str">
        <f>IF($L74="","",34)</f>
        <v/>
      </c>
      <c r="B75" s="72" t="str">
        <f>IFERROR(IF($L74="","",INDEX(Ledger!$A$6:$A$205,$L74)),"—")</f>
        <v/>
      </c>
      <c r="C75" s="73" t="str">
        <f>IFERROR(IF($L74="","",INDEX(Ledger!$B$6:$B$205,$L74)),"—")</f>
        <v/>
      </c>
      <c r="D75" s="73" t="str">
        <f>IFERROR(IF($L74="","",INDEX(Ledger!$C$6:$C$205,$L74)),"—")</f>
        <v/>
      </c>
      <c r="E75" s="73" t="str">
        <f>IFERROR(IF($L74="","",INDEX(Ledger!$D$6:$D$205,$L74)),"—")</f>
        <v/>
      </c>
      <c r="F75" s="73" t="str">
        <f>IFERROR(IF($L74="","",INDEX(Ledger!$E$6:$E$205,$L74)),"—")</f>
        <v/>
      </c>
      <c r="G75" s="74" t="str">
        <f>IFERROR(IF($L74="","",INDEX(Ledger!$F$6:$F$205,$L74)),"—")</f>
        <v/>
      </c>
      <c r="H75" s="74" t="str">
        <f>IFERROR(IF($L74="","",INDEX(Ledger!$G$6:$G$205,$L74)),"—")</f>
        <v/>
      </c>
      <c r="I75" s="74" t="str">
        <f>IFERROR(IF($L74="","",INDEX(Ledger!$H$6:$H$205,$L74)),"—")</f>
        <v/>
      </c>
      <c r="J75" s="1"/>
      <c r="K75" s="1"/>
      <c r="L75" s="1" t="str">
        <f>IFERROR(SMALL(IF((Ledger!$D$6:$D$205=$C$4)*IF($C$5="All Years",1,YEAR(Ledger!$A$6:$A$205)=IF($C$5="All Years",0,VALUE($C$5))),ROW(Ledger!$D$6:$D$205)-ROW(Ledger!$D$6)+1),35),"")</f>
        <v/>
      </c>
      <c r="M75" s="1"/>
    </row>
    <row r="76" spans="1:13" ht="20" customHeight="1" x14ac:dyDescent="0.35">
      <c r="A76" s="67" t="str">
        <f>IF($L75="","",35)</f>
        <v/>
      </c>
      <c r="B76" s="68" t="str">
        <f>IFERROR(IF($L75="","",INDEX(Ledger!$A$6:$A$205,$L75)),"—")</f>
        <v/>
      </c>
      <c r="C76" s="69" t="str">
        <f>IFERROR(IF($L75="","",INDEX(Ledger!$B$6:$B$205,$L75)),"—")</f>
        <v/>
      </c>
      <c r="D76" s="69" t="str">
        <f>IFERROR(IF($L75="","",INDEX(Ledger!$C$6:$C$205,$L75)),"—")</f>
        <v/>
      </c>
      <c r="E76" s="69" t="str">
        <f>IFERROR(IF($L75="","",INDEX(Ledger!$D$6:$D$205,$L75)),"—")</f>
        <v/>
      </c>
      <c r="F76" s="69" t="str">
        <f>IFERROR(IF($L75="","",INDEX(Ledger!$E$6:$E$205,$L75)),"—")</f>
        <v/>
      </c>
      <c r="G76" s="70" t="str">
        <f>IFERROR(IF($L75="","",INDEX(Ledger!$F$6:$F$205,$L75)),"—")</f>
        <v/>
      </c>
      <c r="H76" s="70" t="str">
        <f>IFERROR(IF($L75="","",INDEX(Ledger!$G$6:$G$205,$L75)),"—")</f>
        <v/>
      </c>
      <c r="I76" s="70" t="str">
        <f>IFERROR(IF($L75="","",INDEX(Ledger!$H$6:$H$205,$L75)),"—")</f>
        <v/>
      </c>
      <c r="J76" s="1"/>
      <c r="K76" s="1"/>
      <c r="L76" s="1" t="str">
        <f>IFERROR(SMALL(IF((Ledger!$D$6:$D$205=$C$4)*IF($C$5="All Years",1,YEAR(Ledger!$A$6:$A$205)=IF($C$5="All Years",0,VALUE($C$5))),ROW(Ledger!$D$6:$D$205)-ROW(Ledger!$D$6)+1),36),"")</f>
        <v/>
      </c>
      <c r="M76" s="1"/>
    </row>
    <row r="77" spans="1:13" ht="20" customHeight="1" x14ac:dyDescent="0.35">
      <c r="A77" s="71" t="str">
        <f>IF($L76="","",36)</f>
        <v/>
      </c>
      <c r="B77" s="72" t="str">
        <f>IFERROR(IF($L76="","",INDEX(Ledger!$A$6:$A$205,$L76)),"—")</f>
        <v/>
      </c>
      <c r="C77" s="73" t="str">
        <f>IFERROR(IF($L76="","",INDEX(Ledger!$B$6:$B$205,$L76)),"—")</f>
        <v/>
      </c>
      <c r="D77" s="73" t="str">
        <f>IFERROR(IF($L76="","",INDEX(Ledger!$C$6:$C$205,$L76)),"—")</f>
        <v/>
      </c>
      <c r="E77" s="73" t="str">
        <f>IFERROR(IF($L76="","",INDEX(Ledger!$D$6:$D$205,$L76)),"—")</f>
        <v/>
      </c>
      <c r="F77" s="73" t="str">
        <f>IFERROR(IF($L76="","",INDEX(Ledger!$E$6:$E$205,$L76)),"—")</f>
        <v/>
      </c>
      <c r="G77" s="74" t="str">
        <f>IFERROR(IF($L76="","",INDEX(Ledger!$F$6:$F$205,$L76)),"—")</f>
        <v/>
      </c>
      <c r="H77" s="74" t="str">
        <f>IFERROR(IF($L76="","",INDEX(Ledger!$G$6:$G$205,$L76)),"—")</f>
        <v/>
      </c>
      <c r="I77" s="74" t="str">
        <f>IFERROR(IF($L76="","",INDEX(Ledger!$H$6:$H$205,$L76)),"—")</f>
        <v/>
      </c>
      <c r="J77" s="1"/>
      <c r="K77" s="1"/>
      <c r="L77" s="1" t="str">
        <f>IFERROR(SMALL(IF((Ledger!$D$6:$D$205=$C$4)*IF($C$5="All Years",1,YEAR(Ledger!$A$6:$A$205)=IF($C$5="All Years",0,VALUE($C$5))),ROW(Ledger!$D$6:$D$205)-ROW(Ledger!$D$6)+1),37),"")</f>
        <v/>
      </c>
      <c r="M77" s="1"/>
    </row>
    <row r="78" spans="1:13" ht="20" customHeight="1" x14ac:dyDescent="0.35">
      <c r="A78" s="67" t="str">
        <f>IF($L77="","",37)</f>
        <v/>
      </c>
      <c r="B78" s="68" t="str">
        <f>IFERROR(IF($L77="","",INDEX(Ledger!$A$6:$A$205,$L77)),"—")</f>
        <v/>
      </c>
      <c r="C78" s="69" t="str">
        <f>IFERROR(IF($L77="","",INDEX(Ledger!$B$6:$B$205,$L77)),"—")</f>
        <v/>
      </c>
      <c r="D78" s="69" t="str">
        <f>IFERROR(IF($L77="","",INDEX(Ledger!$C$6:$C$205,$L77)),"—")</f>
        <v/>
      </c>
      <c r="E78" s="69" t="str">
        <f>IFERROR(IF($L77="","",INDEX(Ledger!$D$6:$D$205,$L77)),"—")</f>
        <v/>
      </c>
      <c r="F78" s="69" t="str">
        <f>IFERROR(IF($L77="","",INDEX(Ledger!$E$6:$E$205,$L77)),"—")</f>
        <v/>
      </c>
      <c r="G78" s="70" t="str">
        <f>IFERROR(IF($L77="","",INDEX(Ledger!$F$6:$F$205,$L77)),"—")</f>
        <v/>
      </c>
      <c r="H78" s="70" t="str">
        <f>IFERROR(IF($L77="","",INDEX(Ledger!$G$6:$G$205,$L77)),"—")</f>
        <v/>
      </c>
      <c r="I78" s="70" t="str">
        <f>IFERROR(IF($L77="","",INDEX(Ledger!$H$6:$H$205,$L77)),"—")</f>
        <v/>
      </c>
      <c r="J78" s="1"/>
      <c r="K78" s="1"/>
      <c r="L78" s="1" t="str">
        <f>IFERROR(SMALL(IF((Ledger!$D$6:$D$205=$C$4)*IF($C$5="All Years",1,YEAR(Ledger!$A$6:$A$205)=IF($C$5="All Years",0,VALUE($C$5))),ROW(Ledger!$D$6:$D$205)-ROW(Ledger!$D$6)+1),38),"")</f>
        <v/>
      </c>
      <c r="M78" s="1"/>
    </row>
    <row r="79" spans="1:13" ht="20" customHeight="1" x14ac:dyDescent="0.35">
      <c r="A79" s="71" t="str">
        <f>IF($L78="","",38)</f>
        <v/>
      </c>
      <c r="B79" s="72" t="str">
        <f>IFERROR(IF($L78="","",INDEX(Ledger!$A$6:$A$205,$L78)),"—")</f>
        <v/>
      </c>
      <c r="C79" s="73" t="str">
        <f>IFERROR(IF($L78="","",INDEX(Ledger!$B$6:$B$205,$L78)),"—")</f>
        <v/>
      </c>
      <c r="D79" s="73" t="str">
        <f>IFERROR(IF($L78="","",INDEX(Ledger!$C$6:$C$205,$L78)),"—")</f>
        <v/>
      </c>
      <c r="E79" s="73" t="str">
        <f>IFERROR(IF($L78="","",INDEX(Ledger!$D$6:$D$205,$L78)),"—")</f>
        <v/>
      </c>
      <c r="F79" s="73" t="str">
        <f>IFERROR(IF($L78="","",INDEX(Ledger!$E$6:$E$205,$L78)),"—")</f>
        <v/>
      </c>
      <c r="G79" s="74" t="str">
        <f>IFERROR(IF($L78="","",INDEX(Ledger!$F$6:$F$205,$L78)),"—")</f>
        <v/>
      </c>
      <c r="H79" s="74" t="str">
        <f>IFERROR(IF($L78="","",INDEX(Ledger!$G$6:$G$205,$L78)),"—")</f>
        <v/>
      </c>
      <c r="I79" s="74" t="str">
        <f>IFERROR(IF($L78="","",INDEX(Ledger!$H$6:$H$205,$L78)),"—")</f>
        <v/>
      </c>
      <c r="J79" s="1"/>
      <c r="K79" s="1"/>
      <c r="L79" s="1" t="str">
        <f>IFERROR(SMALL(IF((Ledger!$D$6:$D$205=$C$4)*IF($C$5="All Years",1,YEAR(Ledger!$A$6:$A$205)=IF($C$5="All Years",0,VALUE($C$5))),ROW(Ledger!$D$6:$D$205)-ROW(Ledger!$D$6)+1),39),"")</f>
        <v/>
      </c>
      <c r="M79" s="1"/>
    </row>
    <row r="80" spans="1:13" ht="20" customHeight="1" x14ac:dyDescent="0.35">
      <c r="A80" s="67" t="str">
        <f>IF($L79="","",39)</f>
        <v/>
      </c>
      <c r="B80" s="68" t="str">
        <f>IFERROR(IF($L79="","",INDEX(Ledger!$A$6:$A$205,$L79)),"—")</f>
        <v/>
      </c>
      <c r="C80" s="69" t="str">
        <f>IFERROR(IF($L79="","",INDEX(Ledger!$B$6:$B$205,$L79)),"—")</f>
        <v/>
      </c>
      <c r="D80" s="69" t="str">
        <f>IFERROR(IF($L79="","",INDEX(Ledger!$C$6:$C$205,$L79)),"—")</f>
        <v/>
      </c>
      <c r="E80" s="69" t="str">
        <f>IFERROR(IF($L79="","",INDEX(Ledger!$D$6:$D$205,$L79)),"—")</f>
        <v/>
      </c>
      <c r="F80" s="69" t="str">
        <f>IFERROR(IF($L79="","",INDEX(Ledger!$E$6:$E$205,$L79)),"—")</f>
        <v/>
      </c>
      <c r="G80" s="70" t="str">
        <f>IFERROR(IF($L79="","",INDEX(Ledger!$F$6:$F$205,$L79)),"—")</f>
        <v/>
      </c>
      <c r="H80" s="70" t="str">
        <f>IFERROR(IF($L79="","",INDEX(Ledger!$G$6:$G$205,$L79)),"—")</f>
        <v/>
      </c>
      <c r="I80" s="70" t="str">
        <f>IFERROR(IF($L79="","",INDEX(Ledger!$H$6:$H$205,$L79)),"—")</f>
        <v/>
      </c>
      <c r="J80" s="1"/>
      <c r="K80" s="1"/>
      <c r="L80" s="1" t="str">
        <f>IFERROR(SMALL(IF((Ledger!$D$6:$D$205=$C$4)*IF($C$5="All Years",1,YEAR(Ledger!$A$6:$A$205)=IF($C$5="All Years",0,VALUE($C$5))),ROW(Ledger!$D$6:$D$205)-ROW(Ledger!$D$6)+1),40),"")</f>
        <v/>
      </c>
      <c r="M80" s="1"/>
    </row>
    <row r="81" spans="1:13" ht="20" customHeight="1" x14ac:dyDescent="0.35">
      <c r="A81" s="71" t="str">
        <f>IF($L80="","",40)</f>
        <v/>
      </c>
      <c r="B81" s="72" t="str">
        <f>IFERROR(IF($L80="","",INDEX(Ledger!$A$6:$A$205,$L80)),"—")</f>
        <v/>
      </c>
      <c r="C81" s="73" t="str">
        <f>IFERROR(IF($L80="","",INDEX(Ledger!$B$6:$B$205,$L80)),"—")</f>
        <v/>
      </c>
      <c r="D81" s="73" t="str">
        <f>IFERROR(IF($L80="","",INDEX(Ledger!$C$6:$C$205,$L80)),"—")</f>
        <v/>
      </c>
      <c r="E81" s="73" t="str">
        <f>IFERROR(IF($L80="","",INDEX(Ledger!$D$6:$D$205,$L80)),"—")</f>
        <v/>
      </c>
      <c r="F81" s="73" t="str">
        <f>IFERROR(IF($L80="","",INDEX(Ledger!$E$6:$E$205,$L80)),"—")</f>
        <v/>
      </c>
      <c r="G81" s="74" t="str">
        <f>IFERROR(IF($L80="","",INDEX(Ledger!$F$6:$F$205,$L80)),"—")</f>
        <v/>
      </c>
      <c r="H81" s="74" t="str">
        <f>IFERROR(IF($L80="","",INDEX(Ledger!$G$6:$G$205,$L80)),"—")</f>
        <v/>
      </c>
      <c r="I81" s="74" t="str">
        <f>IFERROR(IF($L80="","",INDEX(Ledger!$H$6:$H$205,$L80)),"—")</f>
        <v/>
      </c>
      <c r="J81" s="1"/>
      <c r="K81" s="1"/>
      <c r="L81" s="1" t="str">
        <f>IFERROR(SMALL(IF((Ledger!$D$6:$D$205=$C$4)*IF($C$5="All Years",1,YEAR(Ledger!$A$6:$A$205)=IF($C$5="All Years",0,VALUE($C$5))),ROW(Ledger!$D$6:$D$205)-ROW(Ledger!$D$6)+1),41),"")</f>
        <v/>
      </c>
      <c r="M81" s="1"/>
    </row>
    <row r="82" spans="1:13" ht="20" customHeight="1" x14ac:dyDescent="0.35">
      <c r="A82" s="67" t="str">
        <f>IF($L81="","",41)</f>
        <v/>
      </c>
      <c r="B82" s="68" t="str">
        <f>IFERROR(IF($L81="","",INDEX(Ledger!$A$6:$A$205,$L81)),"—")</f>
        <v/>
      </c>
      <c r="C82" s="69" t="str">
        <f>IFERROR(IF($L81="","",INDEX(Ledger!$B$6:$B$205,$L81)),"—")</f>
        <v/>
      </c>
      <c r="D82" s="69" t="str">
        <f>IFERROR(IF($L81="","",INDEX(Ledger!$C$6:$C$205,$L81)),"—")</f>
        <v/>
      </c>
      <c r="E82" s="69" t="str">
        <f>IFERROR(IF($L81="","",INDEX(Ledger!$D$6:$D$205,$L81)),"—")</f>
        <v/>
      </c>
      <c r="F82" s="69" t="str">
        <f>IFERROR(IF($L81="","",INDEX(Ledger!$E$6:$E$205,$L81)),"—")</f>
        <v/>
      </c>
      <c r="G82" s="70" t="str">
        <f>IFERROR(IF($L81="","",INDEX(Ledger!$F$6:$F$205,$L81)),"—")</f>
        <v/>
      </c>
      <c r="H82" s="70" t="str">
        <f>IFERROR(IF($L81="","",INDEX(Ledger!$G$6:$G$205,$L81)),"—")</f>
        <v/>
      </c>
      <c r="I82" s="70" t="str">
        <f>IFERROR(IF($L81="","",INDEX(Ledger!$H$6:$H$205,$L81)),"—")</f>
        <v/>
      </c>
      <c r="J82" s="1"/>
      <c r="K82" s="1"/>
      <c r="L82" s="1" t="str">
        <f>IFERROR(SMALL(IF((Ledger!$D$6:$D$205=$C$4)*IF($C$5="All Years",1,YEAR(Ledger!$A$6:$A$205)=IF($C$5="All Years",0,VALUE($C$5))),ROW(Ledger!$D$6:$D$205)-ROW(Ledger!$D$6)+1),42),"")</f>
        <v/>
      </c>
      <c r="M82" s="1"/>
    </row>
    <row r="83" spans="1:13" ht="20" customHeight="1" x14ac:dyDescent="0.35">
      <c r="A83" s="71" t="str">
        <f>IF($L82="","",42)</f>
        <v/>
      </c>
      <c r="B83" s="72" t="str">
        <f>IFERROR(IF($L82="","",INDEX(Ledger!$A$6:$A$205,$L82)),"—")</f>
        <v/>
      </c>
      <c r="C83" s="73" t="str">
        <f>IFERROR(IF($L82="","",INDEX(Ledger!$B$6:$B$205,$L82)),"—")</f>
        <v/>
      </c>
      <c r="D83" s="73" t="str">
        <f>IFERROR(IF($L82="","",INDEX(Ledger!$C$6:$C$205,$L82)),"—")</f>
        <v/>
      </c>
      <c r="E83" s="73" t="str">
        <f>IFERROR(IF($L82="","",INDEX(Ledger!$D$6:$D$205,$L82)),"—")</f>
        <v/>
      </c>
      <c r="F83" s="73" t="str">
        <f>IFERROR(IF($L82="","",INDEX(Ledger!$E$6:$E$205,$L82)),"—")</f>
        <v/>
      </c>
      <c r="G83" s="74" t="str">
        <f>IFERROR(IF($L82="","",INDEX(Ledger!$F$6:$F$205,$L82)),"—")</f>
        <v/>
      </c>
      <c r="H83" s="74" t="str">
        <f>IFERROR(IF($L82="","",INDEX(Ledger!$G$6:$G$205,$L82)),"—")</f>
        <v/>
      </c>
      <c r="I83" s="74" t="str">
        <f>IFERROR(IF($L82="","",INDEX(Ledger!$H$6:$H$205,$L82)),"—")</f>
        <v/>
      </c>
      <c r="J83" s="1"/>
      <c r="K83" s="1"/>
      <c r="L83" s="1" t="str">
        <f>IFERROR(SMALL(IF((Ledger!$D$6:$D$205=$C$4)*IF($C$5="All Years",1,YEAR(Ledger!$A$6:$A$205)=IF($C$5="All Years",0,VALUE($C$5))),ROW(Ledger!$D$6:$D$205)-ROW(Ledger!$D$6)+1),43),"")</f>
        <v/>
      </c>
      <c r="M83" s="1"/>
    </row>
    <row r="84" spans="1:13" ht="20" customHeight="1" x14ac:dyDescent="0.35">
      <c r="A84" s="67" t="str">
        <f>IF($L83="","",43)</f>
        <v/>
      </c>
      <c r="B84" s="68" t="str">
        <f>IFERROR(IF($L83="","",INDEX(Ledger!$A$6:$A$205,$L83)),"—")</f>
        <v/>
      </c>
      <c r="C84" s="69" t="str">
        <f>IFERROR(IF($L83="","",INDEX(Ledger!$B$6:$B$205,$L83)),"—")</f>
        <v/>
      </c>
      <c r="D84" s="69" t="str">
        <f>IFERROR(IF($L83="","",INDEX(Ledger!$C$6:$C$205,$L83)),"—")</f>
        <v/>
      </c>
      <c r="E84" s="69" t="str">
        <f>IFERROR(IF($L83="","",INDEX(Ledger!$D$6:$D$205,$L83)),"—")</f>
        <v/>
      </c>
      <c r="F84" s="69" t="str">
        <f>IFERROR(IF($L83="","",INDEX(Ledger!$E$6:$E$205,$L83)),"—")</f>
        <v/>
      </c>
      <c r="G84" s="70" t="str">
        <f>IFERROR(IF($L83="","",INDEX(Ledger!$F$6:$F$205,$L83)),"—")</f>
        <v/>
      </c>
      <c r="H84" s="70" t="str">
        <f>IFERROR(IF($L83="","",INDEX(Ledger!$G$6:$G$205,$L83)),"—")</f>
        <v/>
      </c>
      <c r="I84" s="70" t="str">
        <f>IFERROR(IF($L83="","",INDEX(Ledger!$H$6:$H$205,$L83)),"—")</f>
        <v/>
      </c>
      <c r="J84" s="1"/>
      <c r="K84" s="1"/>
      <c r="L84" s="1" t="str">
        <f>IFERROR(SMALL(IF((Ledger!$D$6:$D$205=$C$4)*IF($C$5="All Years",1,YEAR(Ledger!$A$6:$A$205)=IF($C$5="All Years",0,VALUE($C$5))),ROW(Ledger!$D$6:$D$205)-ROW(Ledger!$D$6)+1),44),"")</f>
        <v/>
      </c>
      <c r="M84" s="1"/>
    </row>
    <row r="85" spans="1:13" ht="20" customHeight="1" x14ac:dyDescent="0.35">
      <c r="A85" s="71" t="str">
        <f>IF($L84="","",44)</f>
        <v/>
      </c>
      <c r="B85" s="72" t="str">
        <f>IFERROR(IF($L84="","",INDEX(Ledger!$A$6:$A$205,$L84)),"—")</f>
        <v/>
      </c>
      <c r="C85" s="73" t="str">
        <f>IFERROR(IF($L84="","",INDEX(Ledger!$B$6:$B$205,$L84)),"—")</f>
        <v/>
      </c>
      <c r="D85" s="73" t="str">
        <f>IFERROR(IF($L84="","",INDEX(Ledger!$C$6:$C$205,$L84)),"—")</f>
        <v/>
      </c>
      <c r="E85" s="73" t="str">
        <f>IFERROR(IF($L84="","",INDEX(Ledger!$D$6:$D$205,$L84)),"—")</f>
        <v/>
      </c>
      <c r="F85" s="73" t="str">
        <f>IFERROR(IF($L84="","",INDEX(Ledger!$E$6:$E$205,$L84)),"—")</f>
        <v/>
      </c>
      <c r="G85" s="74" t="str">
        <f>IFERROR(IF($L84="","",INDEX(Ledger!$F$6:$F$205,$L84)),"—")</f>
        <v/>
      </c>
      <c r="H85" s="74" t="str">
        <f>IFERROR(IF($L84="","",INDEX(Ledger!$G$6:$G$205,$L84)),"—")</f>
        <v/>
      </c>
      <c r="I85" s="74" t="str">
        <f>IFERROR(IF($L84="","",INDEX(Ledger!$H$6:$H$205,$L84)),"—")</f>
        <v/>
      </c>
      <c r="J85" s="1"/>
      <c r="K85" s="1"/>
      <c r="L85" s="1" t="str">
        <f>IFERROR(SMALL(IF((Ledger!$D$6:$D$205=$C$4)*IF($C$5="All Years",1,YEAR(Ledger!$A$6:$A$205)=IF($C$5="All Years",0,VALUE($C$5))),ROW(Ledger!$D$6:$D$205)-ROW(Ledger!$D$6)+1),45),"")</f>
        <v/>
      </c>
      <c r="M85" s="1"/>
    </row>
    <row r="86" spans="1:13" ht="20" customHeight="1" x14ac:dyDescent="0.35">
      <c r="A86" s="67" t="str">
        <f>IF($L85="","",45)</f>
        <v/>
      </c>
      <c r="B86" s="68" t="str">
        <f>IFERROR(IF($L85="","",INDEX(Ledger!$A$6:$A$205,$L85)),"—")</f>
        <v/>
      </c>
      <c r="C86" s="69" t="str">
        <f>IFERROR(IF($L85="","",INDEX(Ledger!$B$6:$B$205,$L85)),"—")</f>
        <v/>
      </c>
      <c r="D86" s="69" t="str">
        <f>IFERROR(IF($L85="","",INDEX(Ledger!$C$6:$C$205,$L85)),"—")</f>
        <v/>
      </c>
      <c r="E86" s="69" t="str">
        <f>IFERROR(IF($L85="","",INDEX(Ledger!$D$6:$D$205,$L85)),"—")</f>
        <v/>
      </c>
      <c r="F86" s="69" t="str">
        <f>IFERROR(IF($L85="","",INDEX(Ledger!$E$6:$E$205,$L85)),"—")</f>
        <v/>
      </c>
      <c r="G86" s="70" t="str">
        <f>IFERROR(IF($L85="","",INDEX(Ledger!$F$6:$F$205,$L85)),"—")</f>
        <v/>
      </c>
      <c r="H86" s="70" t="str">
        <f>IFERROR(IF($L85="","",INDEX(Ledger!$G$6:$G$205,$L85)),"—")</f>
        <v/>
      </c>
      <c r="I86" s="70" t="str">
        <f>IFERROR(IF($L85="","",INDEX(Ledger!$H$6:$H$205,$L85)),"—")</f>
        <v/>
      </c>
      <c r="J86" s="1"/>
      <c r="K86" s="1"/>
      <c r="L86" s="1" t="str">
        <f>IFERROR(SMALL(IF((Ledger!$D$6:$D$205=$C$4)*IF($C$5="All Years",1,YEAR(Ledger!$A$6:$A$205)=IF($C$5="All Years",0,VALUE($C$5))),ROW(Ledger!$D$6:$D$205)-ROW(Ledger!$D$6)+1),46),"")</f>
        <v/>
      </c>
      <c r="M86" s="1"/>
    </row>
    <row r="87" spans="1:13" ht="20" customHeight="1" x14ac:dyDescent="0.35">
      <c r="A87" s="71" t="str">
        <f>IF($L86="","",46)</f>
        <v/>
      </c>
      <c r="B87" s="72" t="str">
        <f>IFERROR(IF($L86="","",INDEX(Ledger!$A$6:$A$205,$L86)),"—")</f>
        <v/>
      </c>
      <c r="C87" s="73" t="str">
        <f>IFERROR(IF($L86="","",INDEX(Ledger!$B$6:$B$205,$L86)),"—")</f>
        <v/>
      </c>
      <c r="D87" s="73" t="str">
        <f>IFERROR(IF($L86="","",INDEX(Ledger!$C$6:$C$205,$L86)),"—")</f>
        <v/>
      </c>
      <c r="E87" s="73" t="str">
        <f>IFERROR(IF($L86="","",INDEX(Ledger!$D$6:$D$205,$L86)),"—")</f>
        <v/>
      </c>
      <c r="F87" s="73" t="str">
        <f>IFERROR(IF($L86="","",INDEX(Ledger!$E$6:$E$205,$L86)),"—")</f>
        <v/>
      </c>
      <c r="G87" s="74" t="str">
        <f>IFERROR(IF($L86="","",INDEX(Ledger!$F$6:$F$205,$L86)),"—")</f>
        <v/>
      </c>
      <c r="H87" s="74" t="str">
        <f>IFERROR(IF($L86="","",INDEX(Ledger!$G$6:$G$205,$L86)),"—")</f>
        <v/>
      </c>
      <c r="I87" s="74" t="str">
        <f>IFERROR(IF($L86="","",INDEX(Ledger!$H$6:$H$205,$L86)),"—")</f>
        <v/>
      </c>
      <c r="J87" s="1"/>
      <c r="K87" s="1"/>
      <c r="L87" s="1" t="str">
        <f>IFERROR(SMALL(IF((Ledger!$D$6:$D$205=$C$4)*IF($C$5="All Years",1,YEAR(Ledger!$A$6:$A$205)=IF($C$5="All Years",0,VALUE($C$5))),ROW(Ledger!$D$6:$D$205)-ROW(Ledger!$D$6)+1),47),"")</f>
        <v/>
      </c>
      <c r="M87" s="1"/>
    </row>
    <row r="88" spans="1:13" ht="20" customHeight="1" x14ac:dyDescent="0.35">
      <c r="A88" s="67" t="str">
        <f>IF($L87="","",47)</f>
        <v/>
      </c>
      <c r="B88" s="68" t="str">
        <f>IFERROR(IF($L87="","",INDEX(Ledger!$A$6:$A$205,$L87)),"—")</f>
        <v/>
      </c>
      <c r="C88" s="69" t="str">
        <f>IFERROR(IF($L87="","",INDEX(Ledger!$B$6:$B$205,$L87)),"—")</f>
        <v/>
      </c>
      <c r="D88" s="69" t="str">
        <f>IFERROR(IF($L87="","",INDEX(Ledger!$C$6:$C$205,$L87)),"—")</f>
        <v/>
      </c>
      <c r="E88" s="69" t="str">
        <f>IFERROR(IF($L87="","",INDEX(Ledger!$D$6:$D$205,$L87)),"—")</f>
        <v/>
      </c>
      <c r="F88" s="69" t="str">
        <f>IFERROR(IF($L87="","",INDEX(Ledger!$E$6:$E$205,$L87)),"—")</f>
        <v/>
      </c>
      <c r="G88" s="70" t="str">
        <f>IFERROR(IF($L87="","",INDEX(Ledger!$F$6:$F$205,$L87)),"—")</f>
        <v/>
      </c>
      <c r="H88" s="70" t="str">
        <f>IFERROR(IF($L87="","",INDEX(Ledger!$G$6:$G$205,$L87)),"—")</f>
        <v/>
      </c>
      <c r="I88" s="70" t="str">
        <f>IFERROR(IF($L87="","",INDEX(Ledger!$H$6:$H$205,$L87)),"—")</f>
        <v/>
      </c>
      <c r="J88" s="1"/>
      <c r="K88" s="1"/>
      <c r="L88" s="1" t="str">
        <f>IFERROR(SMALL(IF((Ledger!$D$6:$D$205=$C$4)*IF($C$5="All Years",1,YEAR(Ledger!$A$6:$A$205)=IF($C$5="All Years",0,VALUE($C$5))),ROW(Ledger!$D$6:$D$205)-ROW(Ledger!$D$6)+1),48),"")</f>
        <v/>
      </c>
      <c r="M88" s="1"/>
    </row>
    <row r="89" spans="1:13" ht="20" customHeight="1" x14ac:dyDescent="0.35">
      <c r="A89" s="71" t="str">
        <f>IF($L88="","",48)</f>
        <v/>
      </c>
      <c r="B89" s="72" t="str">
        <f>IFERROR(IF($L88="","",INDEX(Ledger!$A$6:$A$205,$L88)),"—")</f>
        <v/>
      </c>
      <c r="C89" s="73" t="str">
        <f>IFERROR(IF($L88="","",INDEX(Ledger!$B$6:$B$205,$L88)),"—")</f>
        <v/>
      </c>
      <c r="D89" s="73" t="str">
        <f>IFERROR(IF($L88="","",INDEX(Ledger!$C$6:$C$205,$L88)),"—")</f>
        <v/>
      </c>
      <c r="E89" s="73" t="str">
        <f>IFERROR(IF($L88="","",INDEX(Ledger!$D$6:$D$205,$L88)),"—")</f>
        <v/>
      </c>
      <c r="F89" s="73" t="str">
        <f>IFERROR(IF($L88="","",INDEX(Ledger!$E$6:$E$205,$L88)),"—")</f>
        <v/>
      </c>
      <c r="G89" s="74" t="str">
        <f>IFERROR(IF($L88="","",INDEX(Ledger!$F$6:$F$205,$L88)),"—")</f>
        <v/>
      </c>
      <c r="H89" s="74" t="str">
        <f>IFERROR(IF($L88="","",INDEX(Ledger!$G$6:$G$205,$L88)),"—")</f>
        <v/>
      </c>
      <c r="I89" s="74" t="str">
        <f>IFERROR(IF($L88="","",INDEX(Ledger!$H$6:$H$205,$L88)),"—")</f>
        <v/>
      </c>
      <c r="J89" s="1"/>
      <c r="K89" s="1"/>
      <c r="L89" s="1" t="str">
        <f>IFERROR(SMALL(IF((Ledger!$D$6:$D$205=$C$4)*IF($C$5="All Years",1,YEAR(Ledger!$A$6:$A$205)=IF($C$5="All Years",0,VALUE($C$5))),ROW(Ledger!$D$6:$D$205)-ROW(Ledger!$D$6)+1),49),"")</f>
        <v/>
      </c>
      <c r="M89" s="1"/>
    </row>
    <row r="90" spans="1:13" ht="20" customHeight="1" x14ac:dyDescent="0.35">
      <c r="A90" s="67" t="str">
        <f>IF($L89="","",49)</f>
        <v/>
      </c>
      <c r="B90" s="68" t="str">
        <f>IFERROR(IF($L89="","",INDEX(Ledger!$A$6:$A$205,$L89)),"—")</f>
        <v/>
      </c>
      <c r="C90" s="69" t="str">
        <f>IFERROR(IF($L89="","",INDEX(Ledger!$B$6:$B$205,$L89)),"—")</f>
        <v/>
      </c>
      <c r="D90" s="69" t="str">
        <f>IFERROR(IF($L89="","",INDEX(Ledger!$C$6:$C$205,$L89)),"—")</f>
        <v/>
      </c>
      <c r="E90" s="69" t="str">
        <f>IFERROR(IF($L89="","",INDEX(Ledger!$D$6:$D$205,$L89)),"—")</f>
        <v/>
      </c>
      <c r="F90" s="69" t="str">
        <f>IFERROR(IF($L89="","",INDEX(Ledger!$E$6:$E$205,$L89)),"—")</f>
        <v/>
      </c>
      <c r="G90" s="70" t="str">
        <f>IFERROR(IF($L89="","",INDEX(Ledger!$F$6:$F$205,$L89)),"—")</f>
        <v/>
      </c>
      <c r="H90" s="70" t="str">
        <f>IFERROR(IF($L89="","",INDEX(Ledger!$G$6:$G$205,$L89)),"—")</f>
        <v/>
      </c>
      <c r="I90" s="70" t="str">
        <f>IFERROR(IF($L89="","",INDEX(Ledger!$H$6:$H$205,$L89)),"—")</f>
        <v/>
      </c>
      <c r="J90" s="1"/>
      <c r="K90" s="1"/>
      <c r="L90" s="1" t="str">
        <f>IFERROR(SMALL(IF((Ledger!$D$6:$D$205=$C$4)*IF($C$5="All Years",1,YEAR(Ledger!$A$6:$A$205)=IF($C$5="All Years",0,VALUE($C$5))),ROW(Ledger!$D$6:$D$205)-ROW(Ledger!$D$6)+1),50),"")</f>
        <v/>
      </c>
      <c r="M90" s="1"/>
    </row>
    <row r="91" spans="1:13" ht="20" customHeight="1" x14ac:dyDescent="0.35">
      <c r="A91" s="71" t="str">
        <f>IF($L90="","",50)</f>
        <v/>
      </c>
      <c r="B91" s="72" t="str">
        <f>IFERROR(IF($L90="","",INDEX(Ledger!$A$6:$A$205,$L90)),"—")</f>
        <v/>
      </c>
      <c r="C91" s="73" t="str">
        <f>IFERROR(IF($L90="","",INDEX(Ledger!$B$6:$B$205,$L90)),"—")</f>
        <v/>
      </c>
      <c r="D91" s="73" t="str">
        <f>IFERROR(IF($L90="","",INDEX(Ledger!$C$6:$C$205,$L90)),"—")</f>
        <v/>
      </c>
      <c r="E91" s="73" t="str">
        <f>IFERROR(IF($L90="","",INDEX(Ledger!$D$6:$D$205,$L90)),"—")</f>
        <v/>
      </c>
      <c r="F91" s="73" t="str">
        <f>IFERROR(IF($L90="","",INDEX(Ledger!$E$6:$E$205,$L90)),"—")</f>
        <v/>
      </c>
      <c r="G91" s="74" t="str">
        <f>IFERROR(IF($L90="","",INDEX(Ledger!$F$6:$F$205,$L90)),"—")</f>
        <v/>
      </c>
      <c r="H91" s="74" t="str">
        <f>IFERROR(IF($L90="","",INDEX(Ledger!$G$6:$G$205,$L90)),"—")</f>
        <v/>
      </c>
      <c r="I91" s="74" t="str">
        <f>IFERROR(IF($L90="","",INDEX(Ledger!$H$6:$H$205,$L90)),"—")</f>
        <v/>
      </c>
      <c r="J91" s="1"/>
      <c r="K91" s="1"/>
      <c r="L91" s="1" t="str">
        <f>IFERROR(SMALL(IF((Ledger!$D$6:$D$205=$C$4)*IF($C$5="All Years",1,YEAR(Ledger!$A$6:$A$205)=IF($C$5="All Years",0,VALUE($C$5))),ROW(Ledger!$D$6:$D$205)-ROW(Ledger!$D$6)+1),51),"")</f>
        <v/>
      </c>
      <c r="M91" s="1"/>
    </row>
    <row r="92" spans="1:13" ht="20" customHeight="1" x14ac:dyDescent="0.35">
      <c r="A92" s="67" t="str">
        <f>IF($L91="","",51)</f>
        <v/>
      </c>
      <c r="B92" s="68" t="str">
        <f>IFERROR(IF($L91="","",INDEX(Ledger!$A$6:$A$205,$L91)),"—")</f>
        <v/>
      </c>
      <c r="C92" s="69" t="str">
        <f>IFERROR(IF($L91="","",INDEX(Ledger!$B$6:$B$205,$L91)),"—")</f>
        <v/>
      </c>
      <c r="D92" s="69" t="str">
        <f>IFERROR(IF($L91="","",INDEX(Ledger!$C$6:$C$205,$L91)),"—")</f>
        <v/>
      </c>
      <c r="E92" s="69" t="str">
        <f>IFERROR(IF($L91="","",INDEX(Ledger!$D$6:$D$205,$L91)),"—")</f>
        <v/>
      </c>
      <c r="F92" s="69" t="str">
        <f>IFERROR(IF($L91="","",INDEX(Ledger!$E$6:$E$205,$L91)),"—")</f>
        <v/>
      </c>
      <c r="G92" s="70" t="str">
        <f>IFERROR(IF($L91="","",INDEX(Ledger!$F$6:$F$205,$L91)),"—")</f>
        <v/>
      </c>
      <c r="H92" s="70" t="str">
        <f>IFERROR(IF($L91="","",INDEX(Ledger!$G$6:$G$205,$L91)),"—")</f>
        <v/>
      </c>
      <c r="I92" s="70" t="str">
        <f>IFERROR(IF($L91="","",INDEX(Ledger!$H$6:$H$205,$L91)),"—")</f>
        <v/>
      </c>
      <c r="J92" s="1"/>
      <c r="K92" s="1"/>
      <c r="L92" s="1" t="str">
        <f>IFERROR(SMALL(IF((Ledger!$D$6:$D$205=$C$4)*IF($C$5="All Years",1,YEAR(Ledger!$A$6:$A$205)=IF($C$5="All Years",0,VALUE($C$5))),ROW(Ledger!$D$6:$D$205)-ROW(Ledger!$D$6)+1),52),"")</f>
        <v/>
      </c>
      <c r="M92" s="1"/>
    </row>
    <row r="93" spans="1:13" ht="20" customHeight="1" x14ac:dyDescent="0.35">
      <c r="A93" s="71" t="str">
        <f>IF($L92="","",52)</f>
        <v/>
      </c>
      <c r="B93" s="72" t="str">
        <f>IFERROR(IF($L92="","",INDEX(Ledger!$A$6:$A$205,$L92)),"—")</f>
        <v/>
      </c>
      <c r="C93" s="73" t="str">
        <f>IFERROR(IF($L92="","",INDEX(Ledger!$B$6:$B$205,$L92)),"—")</f>
        <v/>
      </c>
      <c r="D93" s="73" t="str">
        <f>IFERROR(IF($L92="","",INDEX(Ledger!$C$6:$C$205,$L92)),"—")</f>
        <v/>
      </c>
      <c r="E93" s="73" t="str">
        <f>IFERROR(IF($L92="","",INDEX(Ledger!$D$6:$D$205,$L92)),"—")</f>
        <v/>
      </c>
      <c r="F93" s="73" t="str">
        <f>IFERROR(IF($L92="","",INDEX(Ledger!$E$6:$E$205,$L92)),"—")</f>
        <v/>
      </c>
      <c r="G93" s="74" t="str">
        <f>IFERROR(IF($L92="","",INDEX(Ledger!$F$6:$F$205,$L92)),"—")</f>
        <v/>
      </c>
      <c r="H93" s="74" t="str">
        <f>IFERROR(IF($L92="","",INDEX(Ledger!$G$6:$G$205,$L92)),"—")</f>
        <v/>
      </c>
      <c r="I93" s="74" t="str">
        <f>IFERROR(IF($L92="","",INDEX(Ledger!$H$6:$H$205,$L92)),"—")</f>
        <v/>
      </c>
      <c r="J93" s="1"/>
      <c r="K93" s="1"/>
      <c r="L93" s="1" t="str">
        <f>IFERROR(SMALL(IF((Ledger!$D$6:$D$205=$C$4)*IF($C$5="All Years",1,YEAR(Ledger!$A$6:$A$205)=IF($C$5="All Years",0,VALUE($C$5))),ROW(Ledger!$D$6:$D$205)-ROW(Ledger!$D$6)+1),53),"")</f>
        <v/>
      </c>
      <c r="M93" s="1"/>
    </row>
    <row r="94" spans="1:13" ht="20" customHeight="1" x14ac:dyDescent="0.35">
      <c r="A94" s="67" t="str">
        <f>IF($L93="","",53)</f>
        <v/>
      </c>
      <c r="B94" s="68" t="str">
        <f>IFERROR(IF($L93="","",INDEX(Ledger!$A$6:$A$205,$L93)),"—")</f>
        <v/>
      </c>
      <c r="C94" s="69" t="str">
        <f>IFERROR(IF($L93="","",INDEX(Ledger!$B$6:$B$205,$L93)),"—")</f>
        <v/>
      </c>
      <c r="D94" s="69" t="str">
        <f>IFERROR(IF($L93="","",INDEX(Ledger!$C$6:$C$205,$L93)),"—")</f>
        <v/>
      </c>
      <c r="E94" s="69" t="str">
        <f>IFERROR(IF($L93="","",INDEX(Ledger!$D$6:$D$205,$L93)),"—")</f>
        <v/>
      </c>
      <c r="F94" s="69" t="str">
        <f>IFERROR(IF($L93="","",INDEX(Ledger!$E$6:$E$205,$L93)),"—")</f>
        <v/>
      </c>
      <c r="G94" s="70" t="str">
        <f>IFERROR(IF($L93="","",INDEX(Ledger!$F$6:$F$205,$L93)),"—")</f>
        <v/>
      </c>
      <c r="H94" s="70" t="str">
        <f>IFERROR(IF($L93="","",INDEX(Ledger!$G$6:$G$205,$L93)),"—")</f>
        <v/>
      </c>
      <c r="I94" s="70" t="str">
        <f>IFERROR(IF($L93="","",INDEX(Ledger!$H$6:$H$205,$L93)),"—")</f>
        <v/>
      </c>
      <c r="J94" s="1"/>
      <c r="K94" s="1"/>
      <c r="L94" s="1" t="str">
        <f>IFERROR(SMALL(IF((Ledger!$D$6:$D$205=$C$4)*IF($C$5="All Years",1,YEAR(Ledger!$A$6:$A$205)=IF($C$5="All Years",0,VALUE($C$5))),ROW(Ledger!$D$6:$D$205)-ROW(Ledger!$D$6)+1),54),"")</f>
        <v/>
      </c>
      <c r="M94" s="1"/>
    </row>
    <row r="95" spans="1:13" ht="20" customHeight="1" x14ac:dyDescent="0.35">
      <c r="A95" s="71" t="str">
        <f>IF($L94="","",54)</f>
        <v/>
      </c>
      <c r="B95" s="72" t="str">
        <f>IFERROR(IF($L94="","",INDEX(Ledger!$A$6:$A$205,$L94)),"—")</f>
        <v/>
      </c>
      <c r="C95" s="73" t="str">
        <f>IFERROR(IF($L94="","",INDEX(Ledger!$B$6:$B$205,$L94)),"—")</f>
        <v/>
      </c>
      <c r="D95" s="73" t="str">
        <f>IFERROR(IF($L94="","",INDEX(Ledger!$C$6:$C$205,$L94)),"—")</f>
        <v/>
      </c>
      <c r="E95" s="73" t="str">
        <f>IFERROR(IF($L94="","",INDEX(Ledger!$D$6:$D$205,$L94)),"—")</f>
        <v/>
      </c>
      <c r="F95" s="73" t="str">
        <f>IFERROR(IF($L94="","",INDEX(Ledger!$E$6:$E$205,$L94)),"—")</f>
        <v/>
      </c>
      <c r="G95" s="74" t="str">
        <f>IFERROR(IF($L94="","",INDEX(Ledger!$F$6:$F$205,$L94)),"—")</f>
        <v/>
      </c>
      <c r="H95" s="74" t="str">
        <f>IFERROR(IF($L94="","",INDEX(Ledger!$G$6:$G$205,$L94)),"—")</f>
        <v/>
      </c>
      <c r="I95" s="74" t="str">
        <f>IFERROR(IF($L94="","",INDEX(Ledger!$H$6:$H$205,$L94)),"—")</f>
        <v/>
      </c>
      <c r="J95" s="1"/>
      <c r="K95" s="1"/>
      <c r="L95" s="1" t="str">
        <f>IFERROR(SMALL(IF((Ledger!$D$6:$D$205=$C$4)*IF($C$5="All Years",1,YEAR(Ledger!$A$6:$A$205)=IF($C$5="All Years",0,VALUE($C$5))),ROW(Ledger!$D$6:$D$205)-ROW(Ledger!$D$6)+1),55),"")</f>
        <v/>
      </c>
      <c r="M95" s="1"/>
    </row>
    <row r="96" spans="1:13" ht="20" customHeight="1" x14ac:dyDescent="0.35">
      <c r="A96" s="67" t="str">
        <f>IF($L95="","",55)</f>
        <v/>
      </c>
      <c r="B96" s="68" t="str">
        <f>IFERROR(IF($L95="","",INDEX(Ledger!$A$6:$A$205,$L95)),"—")</f>
        <v/>
      </c>
      <c r="C96" s="69" t="str">
        <f>IFERROR(IF($L95="","",INDEX(Ledger!$B$6:$B$205,$L95)),"—")</f>
        <v/>
      </c>
      <c r="D96" s="69" t="str">
        <f>IFERROR(IF($L95="","",INDEX(Ledger!$C$6:$C$205,$L95)),"—")</f>
        <v/>
      </c>
      <c r="E96" s="69" t="str">
        <f>IFERROR(IF($L95="","",INDEX(Ledger!$D$6:$D$205,$L95)),"—")</f>
        <v/>
      </c>
      <c r="F96" s="69" t="str">
        <f>IFERROR(IF($L95="","",INDEX(Ledger!$E$6:$E$205,$L95)),"—")</f>
        <v/>
      </c>
      <c r="G96" s="70" t="str">
        <f>IFERROR(IF($L95="","",INDEX(Ledger!$F$6:$F$205,$L95)),"—")</f>
        <v/>
      </c>
      <c r="H96" s="70" t="str">
        <f>IFERROR(IF($L95="","",INDEX(Ledger!$G$6:$G$205,$L95)),"—")</f>
        <v/>
      </c>
      <c r="I96" s="70" t="str">
        <f>IFERROR(IF($L95="","",INDEX(Ledger!$H$6:$H$205,$L95)),"—")</f>
        <v/>
      </c>
      <c r="J96" s="1"/>
      <c r="K96" s="1"/>
      <c r="L96" s="1" t="str">
        <f>IFERROR(SMALL(IF((Ledger!$D$6:$D$205=$C$4)*IF($C$5="All Years",1,YEAR(Ledger!$A$6:$A$205)=IF($C$5="All Years",0,VALUE($C$5))),ROW(Ledger!$D$6:$D$205)-ROW(Ledger!$D$6)+1),56),"")</f>
        <v/>
      </c>
      <c r="M96" s="1"/>
    </row>
    <row r="97" spans="1:13" ht="20" customHeight="1" x14ac:dyDescent="0.35">
      <c r="A97" s="71" t="str">
        <f>IF($L96="","",56)</f>
        <v/>
      </c>
      <c r="B97" s="72" t="str">
        <f>IFERROR(IF($L96="","",INDEX(Ledger!$A$6:$A$205,$L96)),"—")</f>
        <v/>
      </c>
      <c r="C97" s="73" t="str">
        <f>IFERROR(IF($L96="","",INDEX(Ledger!$B$6:$B$205,$L96)),"—")</f>
        <v/>
      </c>
      <c r="D97" s="73" t="str">
        <f>IFERROR(IF($L96="","",INDEX(Ledger!$C$6:$C$205,$L96)),"—")</f>
        <v/>
      </c>
      <c r="E97" s="73" t="str">
        <f>IFERROR(IF($L96="","",INDEX(Ledger!$D$6:$D$205,$L96)),"—")</f>
        <v/>
      </c>
      <c r="F97" s="73" t="str">
        <f>IFERROR(IF($L96="","",INDEX(Ledger!$E$6:$E$205,$L96)),"—")</f>
        <v/>
      </c>
      <c r="G97" s="74" t="str">
        <f>IFERROR(IF($L96="","",INDEX(Ledger!$F$6:$F$205,$L96)),"—")</f>
        <v/>
      </c>
      <c r="H97" s="74" t="str">
        <f>IFERROR(IF($L96="","",INDEX(Ledger!$G$6:$G$205,$L96)),"—")</f>
        <v/>
      </c>
      <c r="I97" s="74" t="str">
        <f>IFERROR(IF($L96="","",INDEX(Ledger!$H$6:$H$205,$L96)),"—")</f>
        <v/>
      </c>
      <c r="J97" s="1"/>
      <c r="K97" s="1"/>
      <c r="L97" s="1" t="str">
        <f>IFERROR(SMALL(IF((Ledger!$D$6:$D$205=$C$4)*IF($C$5="All Years",1,YEAR(Ledger!$A$6:$A$205)=IF($C$5="All Years",0,VALUE($C$5))),ROW(Ledger!$D$6:$D$205)-ROW(Ledger!$D$6)+1),57),"")</f>
        <v/>
      </c>
      <c r="M97" s="1"/>
    </row>
    <row r="98" spans="1:13" ht="20" customHeight="1" x14ac:dyDescent="0.35">
      <c r="A98" s="67" t="str">
        <f>IF($L97="","",57)</f>
        <v/>
      </c>
      <c r="B98" s="68" t="str">
        <f>IFERROR(IF($L97="","",INDEX(Ledger!$A$6:$A$205,$L97)),"—")</f>
        <v/>
      </c>
      <c r="C98" s="69" t="str">
        <f>IFERROR(IF($L97="","",INDEX(Ledger!$B$6:$B$205,$L97)),"—")</f>
        <v/>
      </c>
      <c r="D98" s="69" t="str">
        <f>IFERROR(IF($L97="","",INDEX(Ledger!$C$6:$C$205,$L97)),"—")</f>
        <v/>
      </c>
      <c r="E98" s="69" t="str">
        <f>IFERROR(IF($L97="","",INDEX(Ledger!$D$6:$D$205,$L97)),"—")</f>
        <v/>
      </c>
      <c r="F98" s="69" t="str">
        <f>IFERROR(IF($L97="","",INDEX(Ledger!$E$6:$E$205,$L97)),"—")</f>
        <v/>
      </c>
      <c r="G98" s="70" t="str">
        <f>IFERROR(IF($L97="","",INDEX(Ledger!$F$6:$F$205,$L97)),"—")</f>
        <v/>
      </c>
      <c r="H98" s="70" t="str">
        <f>IFERROR(IF($L97="","",INDEX(Ledger!$G$6:$G$205,$L97)),"—")</f>
        <v/>
      </c>
      <c r="I98" s="70" t="str">
        <f>IFERROR(IF($L97="","",INDEX(Ledger!$H$6:$H$205,$L97)),"—")</f>
        <v/>
      </c>
      <c r="J98" s="1"/>
      <c r="K98" s="1"/>
      <c r="L98" s="1" t="str">
        <f>IFERROR(SMALL(IF((Ledger!$D$6:$D$205=$C$4)*IF($C$5="All Years",1,YEAR(Ledger!$A$6:$A$205)=IF($C$5="All Years",0,VALUE($C$5))),ROW(Ledger!$D$6:$D$205)-ROW(Ledger!$D$6)+1),58),"")</f>
        <v/>
      </c>
      <c r="M98" s="1"/>
    </row>
    <row r="99" spans="1:13" ht="20" customHeight="1" x14ac:dyDescent="0.35">
      <c r="A99" s="71" t="str">
        <f>IF($L98="","",58)</f>
        <v/>
      </c>
      <c r="B99" s="72" t="str">
        <f>IFERROR(IF($L98="","",INDEX(Ledger!$A$6:$A$205,$L98)),"—")</f>
        <v/>
      </c>
      <c r="C99" s="73" t="str">
        <f>IFERROR(IF($L98="","",INDEX(Ledger!$B$6:$B$205,$L98)),"—")</f>
        <v/>
      </c>
      <c r="D99" s="73" t="str">
        <f>IFERROR(IF($L98="","",INDEX(Ledger!$C$6:$C$205,$L98)),"—")</f>
        <v/>
      </c>
      <c r="E99" s="73" t="str">
        <f>IFERROR(IF($L98="","",INDEX(Ledger!$D$6:$D$205,$L98)),"—")</f>
        <v/>
      </c>
      <c r="F99" s="73" t="str">
        <f>IFERROR(IF($L98="","",INDEX(Ledger!$E$6:$E$205,$L98)),"—")</f>
        <v/>
      </c>
      <c r="G99" s="74" t="str">
        <f>IFERROR(IF($L98="","",INDEX(Ledger!$F$6:$F$205,$L98)),"—")</f>
        <v/>
      </c>
      <c r="H99" s="74" t="str">
        <f>IFERROR(IF($L98="","",INDEX(Ledger!$G$6:$G$205,$L98)),"—")</f>
        <v/>
      </c>
      <c r="I99" s="74" t="str">
        <f>IFERROR(IF($L98="","",INDEX(Ledger!$H$6:$H$205,$L98)),"—")</f>
        <v/>
      </c>
      <c r="J99" s="1"/>
      <c r="K99" s="1"/>
      <c r="L99" s="1" t="str">
        <f>IFERROR(SMALL(IF((Ledger!$D$6:$D$205=$C$4)*IF($C$5="All Years",1,YEAR(Ledger!$A$6:$A$205)=IF($C$5="All Years",0,VALUE($C$5))),ROW(Ledger!$D$6:$D$205)-ROW(Ledger!$D$6)+1),59),"")</f>
        <v/>
      </c>
      <c r="M99" s="1"/>
    </row>
    <row r="100" spans="1:13" ht="20" customHeight="1" x14ac:dyDescent="0.35">
      <c r="A100" s="67" t="str">
        <f>IF($L99="","",59)</f>
        <v/>
      </c>
      <c r="B100" s="68" t="str">
        <f>IFERROR(IF($L99="","",INDEX(Ledger!$A$6:$A$205,$L99)),"—")</f>
        <v/>
      </c>
      <c r="C100" s="69" t="str">
        <f>IFERROR(IF($L99="","",INDEX(Ledger!$B$6:$B$205,$L99)),"—")</f>
        <v/>
      </c>
      <c r="D100" s="69" t="str">
        <f>IFERROR(IF($L99="","",INDEX(Ledger!$C$6:$C$205,$L99)),"—")</f>
        <v/>
      </c>
      <c r="E100" s="69" t="str">
        <f>IFERROR(IF($L99="","",INDEX(Ledger!$D$6:$D$205,$L99)),"—")</f>
        <v/>
      </c>
      <c r="F100" s="69" t="str">
        <f>IFERROR(IF($L99="","",INDEX(Ledger!$E$6:$E$205,$L99)),"—")</f>
        <v/>
      </c>
      <c r="G100" s="70" t="str">
        <f>IFERROR(IF($L99="","",INDEX(Ledger!$F$6:$F$205,$L99)),"—")</f>
        <v/>
      </c>
      <c r="H100" s="70" t="str">
        <f>IFERROR(IF($L99="","",INDEX(Ledger!$G$6:$G$205,$L99)),"—")</f>
        <v/>
      </c>
      <c r="I100" s="70" t="str">
        <f>IFERROR(IF($L99="","",INDEX(Ledger!$H$6:$H$205,$L99)),"—")</f>
        <v/>
      </c>
      <c r="J100" s="1"/>
      <c r="K100" s="1"/>
      <c r="L100" s="1" t="str">
        <f>IFERROR(SMALL(IF((Ledger!$D$6:$D$205=$C$4)*IF($C$5="All Years",1,YEAR(Ledger!$A$6:$A$205)=IF($C$5="All Years",0,VALUE($C$5))),ROW(Ledger!$D$6:$D$205)-ROW(Ledger!$D$6)+1),60),"")</f>
        <v/>
      </c>
      <c r="M100" s="1"/>
    </row>
    <row r="101" spans="1:13" ht="20" customHeight="1" x14ac:dyDescent="0.35">
      <c r="A101" s="71" t="str">
        <f>IF($L100="","",60)</f>
        <v/>
      </c>
      <c r="B101" s="72" t="str">
        <f>IFERROR(IF($L100="","",INDEX(Ledger!$A$6:$A$205,$L100)),"—")</f>
        <v/>
      </c>
      <c r="C101" s="73" t="str">
        <f>IFERROR(IF($L100="","",INDEX(Ledger!$B$6:$B$205,$L100)),"—")</f>
        <v/>
      </c>
      <c r="D101" s="73" t="str">
        <f>IFERROR(IF($L100="","",INDEX(Ledger!$C$6:$C$205,$L100)),"—")</f>
        <v/>
      </c>
      <c r="E101" s="73" t="str">
        <f>IFERROR(IF($L100="","",INDEX(Ledger!$D$6:$D$205,$L100)),"—")</f>
        <v/>
      </c>
      <c r="F101" s="73" t="str">
        <f>IFERROR(IF($L100="","",INDEX(Ledger!$E$6:$E$205,$L100)),"—")</f>
        <v/>
      </c>
      <c r="G101" s="74" t="str">
        <f>IFERROR(IF($L100="","",INDEX(Ledger!$F$6:$F$205,$L100)),"—")</f>
        <v/>
      </c>
      <c r="H101" s="74" t="str">
        <f>IFERROR(IF($L100="","",INDEX(Ledger!$G$6:$G$205,$L100)),"—")</f>
        <v/>
      </c>
      <c r="I101" s="74" t="str">
        <f>IFERROR(IF($L100="","",INDEX(Ledger!$H$6:$H$205,$L100)),"—")</f>
        <v/>
      </c>
      <c r="J101" s="1"/>
      <c r="K101" s="1"/>
      <c r="L101" s="1" t="str">
        <f>IFERROR(SMALL(IF((Ledger!$D$6:$D$205=$C$4)*IF($C$5="All Years",1,YEAR(Ledger!$A$6:$A$205)=IF($C$5="All Years",0,VALUE($C$5))),ROW(Ledger!$D$6:$D$205)-ROW(Ledger!$D$6)+1),61),"")</f>
        <v/>
      </c>
      <c r="M101" s="1"/>
    </row>
    <row r="102" spans="1:13" ht="20" customHeight="1" x14ac:dyDescent="0.35">
      <c r="A102" s="67" t="str">
        <f>IF($L101="","",61)</f>
        <v/>
      </c>
      <c r="B102" s="68" t="str">
        <f>IFERROR(IF($L101="","",INDEX(Ledger!$A$6:$A$205,$L101)),"—")</f>
        <v/>
      </c>
      <c r="C102" s="69" t="str">
        <f>IFERROR(IF($L101="","",INDEX(Ledger!$B$6:$B$205,$L101)),"—")</f>
        <v/>
      </c>
      <c r="D102" s="69" t="str">
        <f>IFERROR(IF($L101="","",INDEX(Ledger!$C$6:$C$205,$L101)),"—")</f>
        <v/>
      </c>
      <c r="E102" s="69" t="str">
        <f>IFERROR(IF($L101="","",INDEX(Ledger!$D$6:$D$205,$L101)),"—")</f>
        <v/>
      </c>
      <c r="F102" s="69" t="str">
        <f>IFERROR(IF($L101="","",INDEX(Ledger!$E$6:$E$205,$L101)),"—")</f>
        <v/>
      </c>
      <c r="G102" s="70" t="str">
        <f>IFERROR(IF($L101="","",INDEX(Ledger!$F$6:$F$205,$L101)),"—")</f>
        <v/>
      </c>
      <c r="H102" s="70" t="str">
        <f>IFERROR(IF($L101="","",INDEX(Ledger!$G$6:$G$205,$L101)),"—")</f>
        <v/>
      </c>
      <c r="I102" s="70" t="str">
        <f>IFERROR(IF($L101="","",INDEX(Ledger!$H$6:$H$205,$L101)),"—")</f>
        <v/>
      </c>
      <c r="J102" s="1"/>
      <c r="K102" s="1"/>
      <c r="L102" s="1" t="str">
        <f>IFERROR(SMALL(IF((Ledger!$D$6:$D$205=$C$4)*IF($C$5="All Years",1,YEAR(Ledger!$A$6:$A$205)=IF($C$5="All Years",0,VALUE($C$5))),ROW(Ledger!$D$6:$D$205)-ROW(Ledger!$D$6)+1),62),"")</f>
        <v/>
      </c>
      <c r="M102" s="1"/>
    </row>
    <row r="103" spans="1:13" ht="20" customHeight="1" x14ac:dyDescent="0.35">
      <c r="A103" s="71" t="str">
        <f>IF($L102="","",62)</f>
        <v/>
      </c>
      <c r="B103" s="72" t="str">
        <f>IFERROR(IF($L102="","",INDEX(Ledger!$A$6:$A$205,$L102)),"—")</f>
        <v/>
      </c>
      <c r="C103" s="73" t="str">
        <f>IFERROR(IF($L102="","",INDEX(Ledger!$B$6:$B$205,$L102)),"—")</f>
        <v/>
      </c>
      <c r="D103" s="73" t="str">
        <f>IFERROR(IF($L102="","",INDEX(Ledger!$C$6:$C$205,$L102)),"—")</f>
        <v/>
      </c>
      <c r="E103" s="73" t="str">
        <f>IFERROR(IF($L102="","",INDEX(Ledger!$D$6:$D$205,$L102)),"—")</f>
        <v/>
      </c>
      <c r="F103" s="73" t="str">
        <f>IFERROR(IF($L102="","",INDEX(Ledger!$E$6:$E$205,$L102)),"—")</f>
        <v/>
      </c>
      <c r="G103" s="74" t="str">
        <f>IFERROR(IF($L102="","",INDEX(Ledger!$F$6:$F$205,$L102)),"—")</f>
        <v/>
      </c>
      <c r="H103" s="74" t="str">
        <f>IFERROR(IF($L102="","",INDEX(Ledger!$G$6:$G$205,$L102)),"—")</f>
        <v/>
      </c>
      <c r="I103" s="74" t="str">
        <f>IFERROR(IF($L102="","",INDEX(Ledger!$H$6:$H$205,$L102)),"—")</f>
        <v/>
      </c>
      <c r="J103" s="1"/>
      <c r="K103" s="1"/>
      <c r="L103" s="1" t="str">
        <f>IFERROR(SMALL(IF((Ledger!$D$6:$D$205=$C$4)*IF($C$5="All Years",1,YEAR(Ledger!$A$6:$A$205)=IF($C$5="All Years",0,VALUE($C$5))),ROW(Ledger!$D$6:$D$205)-ROW(Ledger!$D$6)+1),63),"")</f>
        <v/>
      </c>
      <c r="M103" s="1"/>
    </row>
    <row r="104" spans="1:13" ht="20" customHeight="1" x14ac:dyDescent="0.35">
      <c r="A104" s="67" t="str">
        <f>IF($L103="","",63)</f>
        <v/>
      </c>
      <c r="B104" s="68" t="str">
        <f>IFERROR(IF($L103="","",INDEX(Ledger!$A$6:$A$205,$L103)),"—")</f>
        <v/>
      </c>
      <c r="C104" s="69" t="str">
        <f>IFERROR(IF($L103="","",INDEX(Ledger!$B$6:$B$205,$L103)),"—")</f>
        <v/>
      </c>
      <c r="D104" s="69" t="str">
        <f>IFERROR(IF($L103="","",INDEX(Ledger!$C$6:$C$205,$L103)),"—")</f>
        <v/>
      </c>
      <c r="E104" s="69" t="str">
        <f>IFERROR(IF($L103="","",INDEX(Ledger!$D$6:$D$205,$L103)),"—")</f>
        <v/>
      </c>
      <c r="F104" s="69" t="str">
        <f>IFERROR(IF($L103="","",INDEX(Ledger!$E$6:$E$205,$L103)),"—")</f>
        <v/>
      </c>
      <c r="G104" s="70" t="str">
        <f>IFERROR(IF($L103="","",INDEX(Ledger!$F$6:$F$205,$L103)),"—")</f>
        <v/>
      </c>
      <c r="H104" s="70" t="str">
        <f>IFERROR(IF($L103="","",INDEX(Ledger!$G$6:$G$205,$L103)),"—")</f>
        <v/>
      </c>
      <c r="I104" s="70" t="str">
        <f>IFERROR(IF($L103="","",INDEX(Ledger!$H$6:$H$205,$L103)),"—")</f>
        <v/>
      </c>
      <c r="J104" s="1"/>
      <c r="K104" s="1"/>
      <c r="L104" s="1" t="str">
        <f>IFERROR(SMALL(IF((Ledger!$D$6:$D$205=$C$4)*IF($C$5="All Years",1,YEAR(Ledger!$A$6:$A$205)=IF($C$5="All Years",0,VALUE($C$5))),ROW(Ledger!$D$6:$D$205)-ROW(Ledger!$D$6)+1),64),"")</f>
        <v/>
      </c>
      <c r="M104" s="1"/>
    </row>
    <row r="105" spans="1:13" ht="20" customHeight="1" x14ac:dyDescent="0.35">
      <c r="A105" s="71" t="str">
        <f>IF($L104="","",64)</f>
        <v/>
      </c>
      <c r="B105" s="72" t="str">
        <f>IFERROR(IF($L104="","",INDEX(Ledger!$A$6:$A$205,$L104)),"—")</f>
        <v/>
      </c>
      <c r="C105" s="73" t="str">
        <f>IFERROR(IF($L104="","",INDEX(Ledger!$B$6:$B$205,$L104)),"—")</f>
        <v/>
      </c>
      <c r="D105" s="73" t="str">
        <f>IFERROR(IF($L104="","",INDEX(Ledger!$C$6:$C$205,$L104)),"—")</f>
        <v/>
      </c>
      <c r="E105" s="73" t="str">
        <f>IFERROR(IF($L104="","",INDEX(Ledger!$D$6:$D$205,$L104)),"—")</f>
        <v/>
      </c>
      <c r="F105" s="73" t="str">
        <f>IFERROR(IF($L104="","",INDEX(Ledger!$E$6:$E$205,$L104)),"—")</f>
        <v/>
      </c>
      <c r="G105" s="74" t="str">
        <f>IFERROR(IF($L104="","",INDEX(Ledger!$F$6:$F$205,$L104)),"—")</f>
        <v/>
      </c>
      <c r="H105" s="74" t="str">
        <f>IFERROR(IF($L104="","",INDEX(Ledger!$G$6:$G$205,$L104)),"—")</f>
        <v/>
      </c>
      <c r="I105" s="74" t="str">
        <f>IFERROR(IF($L104="","",INDEX(Ledger!$H$6:$H$205,$L104)),"—")</f>
        <v/>
      </c>
      <c r="J105" s="1"/>
      <c r="K105" s="1"/>
      <c r="L105" s="1" t="str">
        <f>IFERROR(SMALL(IF((Ledger!$D$6:$D$205=$C$4)*IF($C$5="All Years",1,YEAR(Ledger!$A$6:$A$205)=IF($C$5="All Years",0,VALUE($C$5))),ROW(Ledger!$D$6:$D$205)-ROW(Ledger!$D$6)+1),65),"")</f>
        <v/>
      </c>
      <c r="M105" s="1"/>
    </row>
    <row r="106" spans="1:13" ht="20" customHeight="1" x14ac:dyDescent="0.35">
      <c r="A106" s="67" t="str">
        <f>IF($L105="","",65)</f>
        <v/>
      </c>
      <c r="B106" s="68" t="str">
        <f>IFERROR(IF($L105="","",INDEX(Ledger!$A$6:$A$205,$L105)),"—")</f>
        <v/>
      </c>
      <c r="C106" s="69" t="str">
        <f>IFERROR(IF($L105="","",INDEX(Ledger!$B$6:$B$205,$L105)),"—")</f>
        <v/>
      </c>
      <c r="D106" s="69" t="str">
        <f>IFERROR(IF($L105="","",INDEX(Ledger!$C$6:$C$205,$L105)),"—")</f>
        <v/>
      </c>
      <c r="E106" s="69" t="str">
        <f>IFERROR(IF($L105="","",INDEX(Ledger!$D$6:$D$205,$L105)),"—")</f>
        <v/>
      </c>
      <c r="F106" s="69" t="str">
        <f>IFERROR(IF($L105="","",INDEX(Ledger!$E$6:$E$205,$L105)),"—")</f>
        <v/>
      </c>
      <c r="G106" s="70" t="str">
        <f>IFERROR(IF($L105="","",INDEX(Ledger!$F$6:$F$205,$L105)),"—")</f>
        <v/>
      </c>
      <c r="H106" s="70" t="str">
        <f>IFERROR(IF($L105="","",INDEX(Ledger!$G$6:$G$205,$L105)),"—")</f>
        <v/>
      </c>
      <c r="I106" s="70" t="str">
        <f>IFERROR(IF($L105="","",INDEX(Ledger!$H$6:$H$205,$L105)),"—")</f>
        <v/>
      </c>
      <c r="J106" s="1"/>
      <c r="K106" s="1"/>
      <c r="L106" s="1" t="str">
        <f>IFERROR(SMALL(IF((Ledger!$D$6:$D$205=$C$4)*IF($C$5="All Years",1,YEAR(Ledger!$A$6:$A$205)=IF($C$5="All Years",0,VALUE($C$5))),ROW(Ledger!$D$6:$D$205)-ROW(Ledger!$D$6)+1),66),"")</f>
        <v/>
      </c>
      <c r="M106" s="1"/>
    </row>
    <row r="107" spans="1:13" ht="20" customHeight="1" x14ac:dyDescent="0.35">
      <c r="A107" s="71" t="str">
        <f>IF($L106="","",66)</f>
        <v/>
      </c>
      <c r="B107" s="72" t="str">
        <f>IFERROR(IF($L106="","",INDEX(Ledger!$A$6:$A$205,$L106)),"—")</f>
        <v/>
      </c>
      <c r="C107" s="73" t="str">
        <f>IFERROR(IF($L106="","",INDEX(Ledger!$B$6:$B$205,$L106)),"—")</f>
        <v/>
      </c>
      <c r="D107" s="73" t="str">
        <f>IFERROR(IF($L106="","",INDEX(Ledger!$C$6:$C$205,$L106)),"—")</f>
        <v/>
      </c>
      <c r="E107" s="73" t="str">
        <f>IFERROR(IF($L106="","",INDEX(Ledger!$D$6:$D$205,$L106)),"—")</f>
        <v/>
      </c>
      <c r="F107" s="73" t="str">
        <f>IFERROR(IF($L106="","",INDEX(Ledger!$E$6:$E$205,$L106)),"—")</f>
        <v/>
      </c>
      <c r="G107" s="74" t="str">
        <f>IFERROR(IF($L106="","",INDEX(Ledger!$F$6:$F$205,$L106)),"—")</f>
        <v/>
      </c>
      <c r="H107" s="74" t="str">
        <f>IFERROR(IF($L106="","",INDEX(Ledger!$G$6:$G$205,$L106)),"—")</f>
        <v/>
      </c>
      <c r="I107" s="74" t="str">
        <f>IFERROR(IF($L106="","",INDEX(Ledger!$H$6:$H$205,$L106)),"—")</f>
        <v/>
      </c>
      <c r="J107" s="1"/>
      <c r="K107" s="1"/>
      <c r="L107" s="1" t="str">
        <f>IFERROR(SMALL(IF((Ledger!$D$6:$D$205=$C$4)*IF($C$5="All Years",1,YEAR(Ledger!$A$6:$A$205)=IF($C$5="All Years",0,VALUE($C$5))),ROW(Ledger!$D$6:$D$205)-ROW(Ledger!$D$6)+1),67),"")</f>
        <v/>
      </c>
      <c r="M107" s="1"/>
    </row>
    <row r="108" spans="1:13" ht="20" customHeight="1" x14ac:dyDescent="0.35">
      <c r="A108" s="67" t="str">
        <f>IF($L107="","",67)</f>
        <v/>
      </c>
      <c r="B108" s="68" t="str">
        <f>IFERROR(IF($L107="","",INDEX(Ledger!$A$6:$A$205,$L107)),"—")</f>
        <v/>
      </c>
      <c r="C108" s="69" t="str">
        <f>IFERROR(IF($L107="","",INDEX(Ledger!$B$6:$B$205,$L107)),"—")</f>
        <v/>
      </c>
      <c r="D108" s="69" t="str">
        <f>IFERROR(IF($L107="","",INDEX(Ledger!$C$6:$C$205,$L107)),"—")</f>
        <v/>
      </c>
      <c r="E108" s="69" t="str">
        <f>IFERROR(IF($L107="","",INDEX(Ledger!$D$6:$D$205,$L107)),"—")</f>
        <v/>
      </c>
      <c r="F108" s="69" t="str">
        <f>IFERROR(IF($L107="","",INDEX(Ledger!$E$6:$E$205,$L107)),"—")</f>
        <v/>
      </c>
      <c r="G108" s="70" t="str">
        <f>IFERROR(IF($L107="","",INDEX(Ledger!$F$6:$F$205,$L107)),"—")</f>
        <v/>
      </c>
      <c r="H108" s="70" t="str">
        <f>IFERROR(IF($L107="","",INDEX(Ledger!$G$6:$G$205,$L107)),"—")</f>
        <v/>
      </c>
      <c r="I108" s="70" t="str">
        <f>IFERROR(IF($L107="","",INDEX(Ledger!$H$6:$H$205,$L107)),"—")</f>
        <v/>
      </c>
      <c r="J108" s="1"/>
      <c r="K108" s="1"/>
      <c r="L108" s="1" t="str">
        <f>IFERROR(SMALL(IF((Ledger!$D$6:$D$205=$C$4)*IF($C$5="All Years",1,YEAR(Ledger!$A$6:$A$205)=IF($C$5="All Years",0,VALUE($C$5))),ROW(Ledger!$D$6:$D$205)-ROW(Ledger!$D$6)+1),68),"")</f>
        <v/>
      </c>
      <c r="M108" s="1"/>
    </row>
    <row r="109" spans="1:13" ht="20" customHeight="1" x14ac:dyDescent="0.35">
      <c r="A109" s="71" t="str">
        <f>IF($L108="","",68)</f>
        <v/>
      </c>
      <c r="B109" s="72" t="str">
        <f>IFERROR(IF($L108="","",INDEX(Ledger!$A$6:$A$205,$L108)),"—")</f>
        <v/>
      </c>
      <c r="C109" s="73" t="str">
        <f>IFERROR(IF($L108="","",INDEX(Ledger!$B$6:$B$205,$L108)),"—")</f>
        <v/>
      </c>
      <c r="D109" s="73" t="str">
        <f>IFERROR(IF($L108="","",INDEX(Ledger!$C$6:$C$205,$L108)),"—")</f>
        <v/>
      </c>
      <c r="E109" s="73" t="str">
        <f>IFERROR(IF($L108="","",INDEX(Ledger!$D$6:$D$205,$L108)),"—")</f>
        <v/>
      </c>
      <c r="F109" s="73" t="str">
        <f>IFERROR(IF($L108="","",INDEX(Ledger!$E$6:$E$205,$L108)),"—")</f>
        <v/>
      </c>
      <c r="G109" s="74" t="str">
        <f>IFERROR(IF($L108="","",INDEX(Ledger!$F$6:$F$205,$L108)),"—")</f>
        <v/>
      </c>
      <c r="H109" s="74" t="str">
        <f>IFERROR(IF($L108="","",INDEX(Ledger!$G$6:$G$205,$L108)),"—")</f>
        <v/>
      </c>
      <c r="I109" s="74" t="str">
        <f>IFERROR(IF($L108="","",INDEX(Ledger!$H$6:$H$205,$L108)),"—")</f>
        <v/>
      </c>
      <c r="J109" s="1"/>
      <c r="K109" s="1"/>
      <c r="L109" s="1" t="str">
        <f>IFERROR(SMALL(IF((Ledger!$D$6:$D$205=$C$4)*IF($C$5="All Years",1,YEAR(Ledger!$A$6:$A$205)=IF($C$5="All Years",0,VALUE($C$5))),ROW(Ledger!$D$6:$D$205)-ROW(Ledger!$D$6)+1),69),"")</f>
        <v/>
      </c>
      <c r="M109" s="1"/>
    </row>
    <row r="110" spans="1:13" ht="20" customHeight="1" x14ac:dyDescent="0.35">
      <c r="A110" s="67" t="str">
        <f>IF($L109="","",69)</f>
        <v/>
      </c>
      <c r="B110" s="68" t="str">
        <f>IFERROR(IF($L109="","",INDEX(Ledger!$A$6:$A$205,$L109)),"—")</f>
        <v/>
      </c>
      <c r="C110" s="69" t="str">
        <f>IFERROR(IF($L109="","",INDEX(Ledger!$B$6:$B$205,$L109)),"—")</f>
        <v/>
      </c>
      <c r="D110" s="69" t="str">
        <f>IFERROR(IF($L109="","",INDEX(Ledger!$C$6:$C$205,$L109)),"—")</f>
        <v/>
      </c>
      <c r="E110" s="69" t="str">
        <f>IFERROR(IF($L109="","",INDEX(Ledger!$D$6:$D$205,$L109)),"—")</f>
        <v/>
      </c>
      <c r="F110" s="69" t="str">
        <f>IFERROR(IF($L109="","",INDEX(Ledger!$E$6:$E$205,$L109)),"—")</f>
        <v/>
      </c>
      <c r="G110" s="70" t="str">
        <f>IFERROR(IF($L109="","",INDEX(Ledger!$F$6:$F$205,$L109)),"—")</f>
        <v/>
      </c>
      <c r="H110" s="70" t="str">
        <f>IFERROR(IF($L109="","",INDEX(Ledger!$G$6:$G$205,$L109)),"—")</f>
        <v/>
      </c>
      <c r="I110" s="70" t="str">
        <f>IFERROR(IF($L109="","",INDEX(Ledger!$H$6:$H$205,$L109)),"—")</f>
        <v/>
      </c>
      <c r="J110" s="1"/>
      <c r="K110" s="1"/>
      <c r="L110" s="1" t="str">
        <f>IFERROR(SMALL(IF((Ledger!$D$6:$D$205=$C$4)*IF($C$5="All Years",1,YEAR(Ledger!$A$6:$A$205)=IF($C$5="All Years",0,VALUE($C$5))),ROW(Ledger!$D$6:$D$205)-ROW(Ledger!$D$6)+1),70),"")</f>
        <v/>
      </c>
      <c r="M110" s="1"/>
    </row>
    <row r="111" spans="1:13" ht="20" customHeight="1" x14ac:dyDescent="0.35">
      <c r="A111" s="71" t="str">
        <f>IF($L110="","",70)</f>
        <v/>
      </c>
      <c r="B111" s="72" t="str">
        <f>IFERROR(IF($L110="","",INDEX(Ledger!$A$6:$A$205,$L110)),"—")</f>
        <v/>
      </c>
      <c r="C111" s="73" t="str">
        <f>IFERROR(IF($L110="","",INDEX(Ledger!$B$6:$B$205,$L110)),"—")</f>
        <v/>
      </c>
      <c r="D111" s="73" t="str">
        <f>IFERROR(IF($L110="","",INDEX(Ledger!$C$6:$C$205,$L110)),"—")</f>
        <v/>
      </c>
      <c r="E111" s="73" t="str">
        <f>IFERROR(IF($L110="","",INDEX(Ledger!$D$6:$D$205,$L110)),"—")</f>
        <v/>
      </c>
      <c r="F111" s="73" t="str">
        <f>IFERROR(IF($L110="","",INDEX(Ledger!$E$6:$E$205,$L110)),"—")</f>
        <v/>
      </c>
      <c r="G111" s="74" t="str">
        <f>IFERROR(IF($L110="","",INDEX(Ledger!$F$6:$F$205,$L110)),"—")</f>
        <v/>
      </c>
      <c r="H111" s="74" t="str">
        <f>IFERROR(IF($L110="","",INDEX(Ledger!$G$6:$G$205,$L110)),"—")</f>
        <v/>
      </c>
      <c r="I111" s="74" t="str">
        <f>IFERROR(IF($L110="","",INDEX(Ledger!$H$6:$H$205,$L110)),"—")</f>
        <v/>
      </c>
      <c r="J111" s="1"/>
      <c r="K111" s="1"/>
      <c r="L111" s="1" t="str">
        <f>IFERROR(SMALL(IF((Ledger!$D$6:$D$205=$C$4)*IF($C$5="All Years",1,YEAR(Ledger!$A$6:$A$205)=IF($C$5="All Years",0,VALUE($C$5))),ROW(Ledger!$D$6:$D$205)-ROW(Ledger!$D$6)+1),71),"")</f>
        <v/>
      </c>
      <c r="M111" s="1"/>
    </row>
    <row r="112" spans="1:13" ht="20" customHeight="1" x14ac:dyDescent="0.35">
      <c r="A112" s="67" t="str">
        <f>IF($L111="","",71)</f>
        <v/>
      </c>
      <c r="B112" s="68" t="str">
        <f>IFERROR(IF($L111="","",INDEX(Ledger!$A$6:$A$205,$L111)),"—")</f>
        <v/>
      </c>
      <c r="C112" s="69" t="str">
        <f>IFERROR(IF($L111="","",INDEX(Ledger!$B$6:$B$205,$L111)),"—")</f>
        <v/>
      </c>
      <c r="D112" s="69" t="str">
        <f>IFERROR(IF($L111="","",INDEX(Ledger!$C$6:$C$205,$L111)),"—")</f>
        <v/>
      </c>
      <c r="E112" s="69" t="str">
        <f>IFERROR(IF($L111="","",INDEX(Ledger!$D$6:$D$205,$L111)),"—")</f>
        <v/>
      </c>
      <c r="F112" s="69" t="str">
        <f>IFERROR(IF($L111="","",INDEX(Ledger!$E$6:$E$205,$L111)),"—")</f>
        <v/>
      </c>
      <c r="G112" s="70" t="str">
        <f>IFERROR(IF($L111="","",INDEX(Ledger!$F$6:$F$205,$L111)),"—")</f>
        <v/>
      </c>
      <c r="H112" s="70" t="str">
        <f>IFERROR(IF($L111="","",INDEX(Ledger!$G$6:$G$205,$L111)),"—")</f>
        <v/>
      </c>
      <c r="I112" s="70" t="str">
        <f>IFERROR(IF($L111="","",INDEX(Ledger!$H$6:$H$205,$L111)),"—")</f>
        <v/>
      </c>
      <c r="J112" s="1"/>
      <c r="K112" s="1"/>
      <c r="L112" s="1" t="str">
        <f>IFERROR(SMALL(IF((Ledger!$D$6:$D$205=$C$4)*IF($C$5="All Years",1,YEAR(Ledger!$A$6:$A$205)=IF($C$5="All Years",0,VALUE($C$5))),ROW(Ledger!$D$6:$D$205)-ROW(Ledger!$D$6)+1),72),"")</f>
        <v/>
      </c>
      <c r="M112" s="1"/>
    </row>
    <row r="113" spans="1:13" ht="20" customHeight="1" x14ac:dyDescent="0.35">
      <c r="A113" s="71" t="str">
        <f>IF($L112="","",72)</f>
        <v/>
      </c>
      <c r="B113" s="72" t="str">
        <f>IFERROR(IF($L112="","",INDEX(Ledger!$A$6:$A$205,$L112)),"—")</f>
        <v/>
      </c>
      <c r="C113" s="73" t="str">
        <f>IFERROR(IF($L112="","",INDEX(Ledger!$B$6:$B$205,$L112)),"—")</f>
        <v/>
      </c>
      <c r="D113" s="73" t="str">
        <f>IFERROR(IF($L112="","",INDEX(Ledger!$C$6:$C$205,$L112)),"—")</f>
        <v/>
      </c>
      <c r="E113" s="73" t="str">
        <f>IFERROR(IF($L112="","",INDEX(Ledger!$D$6:$D$205,$L112)),"—")</f>
        <v/>
      </c>
      <c r="F113" s="73" t="str">
        <f>IFERROR(IF($L112="","",INDEX(Ledger!$E$6:$E$205,$L112)),"—")</f>
        <v/>
      </c>
      <c r="G113" s="74" t="str">
        <f>IFERROR(IF($L112="","",INDEX(Ledger!$F$6:$F$205,$L112)),"—")</f>
        <v/>
      </c>
      <c r="H113" s="74" t="str">
        <f>IFERROR(IF($L112="","",INDEX(Ledger!$G$6:$G$205,$L112)),"—")</f>
        <v/>
      </c>
      <c r="I113" s="74" t="str">
        <f>IFERROR(IF($L112="","",INDEX(Ledger!$H$6:$H$205,$L112)),"—")</f>
        <v/>
      </c>
      <c r="J113" s="1"/>
      <c r="K113" s="1"/>
      <c r="L113" s="1" t="str">
        <f>IFERROR(SMALL(IF((Ledger!$D$6:$D$205=$C$4)*IF($C$5="All Years",1,YEAR(Ledger!$A$6:$A$205)=IF($C$5="All Years",0,VALUE($C$5))),ROW(Ledger!$D$6:$D$205)-ROW(Ledger!$D$6)+1),73),"")</f>
        <v/>
      </c>
      <c r="M113" s="1"/>
    </row>
    <row r="114" spans="1:13" ht="20" customHeight="1" x14ac:dyDescent="0.35">
      <c r="A114" s="67" t="str">
        <f>IF($L113="","",73)</f>
        <v/>
      </c>
      <c r="B114" s="68" t="str">
        <f>IFERROR(IF($L113="","",INDEX(Ledger!$A$6:$A$205,$L113)),"—")</f>
        <v/>
      </c>
      <c r="C114" s="69" t="str">
        <f>IFERROR(IF($L113="","",INDEX(Ledger!$B$6:$B$205,$L113)),"—")</f>
        <v/>
      </c>
      <c r="D114" s="69" t="str">
        <f>IFERROR(IF($L113="","",INDEX(Ledger!$C$6:$C$205,$L113)),"—")</f>
        <v/>
      </c>
      <c r="E114" s="69" t="str">
        <f>IFERROR(IF($L113="","",INDEX(Ledger!$D$6:$D$205,$L113)),"—")</f>
        <v/>
      </c>
      <c r="F114" s="69" t="str">
        <f>IFERROR(IF($L113="","",INDEX(Ledger!$E$6:$E$205,$L113)),"—")</f>
        <v/>
      </c>
      <c r="G114" s="70" t="str">
        <f>IFERROR(IF($L113="","",INDEX(Ledger!$F$6:$F$205,$L113)),"—")</f>
        <v/>
      </c>
      <c r="H114" s="70" t="str">
        <f>IFERROR(IF($L113="","",INDEX(Ledger!$G$6:$G$205,$L113)),"—")</f>
        <v/>
      </c>
      <c r="I114" s="70" t="str">
        <f>IFERROR(IF($L113="","",INDEX(Ledger!$H$6:$H$205,$L113)),"—")</f>
        <v/>
      </c>
      <c r="J114" s="1"/>
      <c r="K114" s="1"/>
      <c r="L114" s="1" t="str">
        <f>IFERROR(SMALL(IF((Ledger!$D$6:$D$205=$C$4)*IF($C$5="All Years",1,YEAR(Ledger!$A$6:$A$205)=IF($C$5="All Years",0,VALUE($C$5))),ROW(Ledger!$D$6:$D$205)-ROW(Ledger!$D$6)+1),74),"")</f>
        <v/>
      </c>
      <c r="M114" s="1"/>
    </row>
    <row r="115" spans="1:13" ht="20" customHeight="1" x14ac:dyDescent="0.35">
      <c r="A115" s="71" t="str">
        <f>IF($L114="","",74)</f>
        <v/>
      </c>
      <c r="B115" s="72" t="str">
        <f>IFERROR(IF($L114="","",INDEX(Ledger!$A$6:$A$205,$L114)),"—")</f>
        <v/>
      </c>
      <c r="C115" s="73" t="str">
        <f>IFERROR(IF($L114="","",INDEX(Ledger!$B$6:$B$205,$L114)),"—")</f>
        <v/>
      </c>
      <c r="D115" s="73" t="str">
        <f>IFERROR(IF($L114="","",INDEX(Ledger!$C$6:$C$205,$L114)),"—")</f>
        <v/>
      </c>
      <c r="E115" s="73" t="str">
        <f>IFERROR(IF($L114="","",INDEX(Ledger!$D$6:$D$205,$L114)),"—")</f>
        <v/>
      </c>
      <c r="F115" s="73" t="str">
        <f>IFERROR(IF($L114="","",INDEX(Ledger!$E$6:$E$205,$L114)),"—")</f>
        <v/>
      </c>
      <c r="G115" s="74" t="str">
        <f>IFERROR(IF($L114="","",INDEX(Ledger!$F$6:$F$205,$L114)),"—")</f>
        <v/>
      </c>
      <c r="H115" s="74" t="str">
        <f>IFERROR(IF($L114="","",INDEX(Ledger!$G$6:$G$205,$L114)),"—")</f>
        <v/>
      </c>
      <c r="I115" s="74" t="str">
        <f>IFERROR(IF($L114="","",INDEX(Ledger!$H$6:$H$205,$L114)),"—")</f>
        <v/>
      </c>
      <c r="J115" s="1"/>
      <c r="K115" s="1"/>
      <c r="L115" s="1" t="str">
        <f>IFERROR(SMALL(IF((Ledger!$D$6:$D$205=$C$4)*IF($C$5="All Years",1,YEAR(Ledger!$A$6:$A$205)=IF($C$5="All Years",0,VALUE($C$5))),ROW(Ledger!$D$6:$D$205)-ROW(Ledger!$D$6)+1),75),"")</f>
        <v/>
      </c>
      <c r="M115" s="1"/>
    </row>
    <row r="116" spans="1:13" ht="20" customHeight="1" x14ac:dyDescent="0.35">
      <c r="A116" s="67" t="str">
        <f>IF($L115="","",75)</f>
        <v/>
      </c>
      <c r="B116" s="68" t="str">
        <f>IFERROR(IF($L115="","",INDEX(Ledger!$A$6:$A$205,$L115)),"—")</f>
        <v/>
      </c>
      <c r="C116" s="69" t="str">
        <f>IFERROR(IF($L115="","",INDEX(Ledger!$B$6:$B$205,$L115)),"—")</f>
        <v/>
      </c>
      <c r="D116" s="69" t="str">
        <f>IFERROR(IF($L115="","",INDEX(Ledger!$C$6:$C$205,$L115)),"—")</f>
        <v/>
      </c>
      <c r="E116" s="69" t="str">
        <f>IFERROR(IF($L115="","",INDEX(Ledger!$D$6:$D$205,$L115)),"—")</f>
        <v/>
      </c>
      <c r="F116" s="69" t="str">
        <f>IFERROR(IF($L115="","",INDEX(Ledger!$E$6:$E$205,$L115)),"—")</f>
        <v/>
      </c>
      <c r="G116" s="70" t="str">
        <f>IFERROR(IF($L115="","",INDEX(Ledger!$F$6:$F$205,$L115)),"—")</f>
        <v/>
      </c>
      <c r="H116" s="70" t="str">
        <f>IFERROR(IF($L115="","",INDEX(Ledger!$G$6:$G$205,$L115)),"—")</f>
        <v/>
      </c>
      <c r="I116" s="70" t="str">
        <f>IFERROR(IF($L115="","",INDEX(Ledger!$H$6:$H$205,$L115)),"—")</f>
        <v/>
      </c>
      <c r="J116" s="1"/>
      <c r="K116" s="1"/>
      <c r="L116" s="1" t="str">
        <f>IFERROR(SMALL(IF((Ledger!$D$6:$D$205=$C$4)*IF($C$5="All Years",1,YEAR(Ledger!$A$6:$A$205)=IF($C$5="All Years",0,VALUE($C$5))),ROW(Ledger!$D$6:$D$205)-ROW(Ledger!$D$6)+1),76),"")</f>
        <v/>
      </c>
      <c r="M116" s="1"/>
    </row>
    <row r="117" spans="1:13" ht="20" customHeight="1" x14ac:dyDescent="0.35">
      <c r="A117" s="71" t="str">
        <f>IF($L116="","",76)</f>
        <v/>
      </c>
      <c r="B117" s="72" t="str">
        <f>IFERROR(IF($L116="","",INDEX(Ledger!$A$6:$A$205,$L116)),"—")</f>
        <v/>
      </c>
      <c r="C117" s="73" t="str">
        <f>IFERROR(IF($L116="","",INDEX(Ledger!$B$6:$B$205,$L116)),"—")</f>
        <v/>
      </c>
      <c r="D117" s="73" t="str">
        <f>IFERROR(IF($L116="","",INDEX(Ledger!$C$6:$C$205,$L116)),"—")</f>
        <v/>
      </c>
      <c r="E117" s="73" t="str">
        <f>IFERROR(IF($L116="","",INDEX(Ledger!$D$6:$D$205,$L116)),"—")</f>
        <v/>
      </c>
      <c r="F117" s="73" t="str">
        <f>IFERROR(IF($L116="","",INDEX(Ledger!$E$6:$E$205,$L116)),"—")</f>
        <v/>
      </c>
      <c r="G117" s="74" t="str">
        <f>IFERROR(IF($L116="","",INDEX(Ledger!$F$6:$F$205,$L116)),"—")</f>
        <v/>
      </c>
      <c r="H117" s="74" t="str">
        <f>IFERROR(IF($L116="","",INDEX(Ledger!$G$6:$G$205,$L116)),"—")</f>
        <v/>
      </c>
      <c r="I117" s="74" t="str">
        <f>IFERROR(IF($L116="","",INDEX(Ledger!$H$6:$H$205,$L116)),"—")</f>
        <v/>
      </c>
      <c r="J117" s="1"/>
      <c r="K117" s="1"/>
      <c r="L117" s="1" t="str">
        <f>IFERROR(SMALL(IF((Ledger!$D$6:$D$205=$C$4)*IF($C$5="All Years",1,YEAR(Ledger!$A$6:$A$205)=IF($C$5="All Years",0,VALUE($C$5))),ROW(Ledger!$D$6:$D$205)-ROW(Ledger!$D$6)+1),77),"")</f>
        <v/>
      </c>
      <c r="M117" s="1"/>
    </row>
    <row r="118" spans="1:13" ht="20" customHeight="1" x14ac:dyDescent="0.35">
      <c r="A118" s="67" t="str">
        <f>IF($L117="","",77)</f>
        <v/>
      </c>
      <c r="B118" s="68" t="str">
        <f>IFERROR(IF($L117="","",INDEX(Ledger!$A$6:$A$205,$L117)),"—")</f>
        <v/>
      </c>
      <c r="C118" s="69" t="str">
        <f>IFERROR(IF($L117="","",INDEX(Ledger!$B$6:$B$205,$L117)),"—")</f>
        <v/>
      </c>
      <c r="D118" s="69" t="str">
        <f>IFERROR(IF($L117="","",INDEX(Ledger!$C$6:$C$205,$L117)),"—")</f>
        <v/>
      </c>
      <c r="E118" s="69" t="str">
        <f>IFERROR(IF($L117="","",INDEX(Ledger!$D$6:$D$205,$L117)),"—")</f>
        <v/>
      </c>
      <c r="F118" s="69" t="str">
        <f>IFERROR(IF($L117="","",INDEX(Ledger!$E$6:$E$205,$L117)),"—")</f>
        <v/>
      </c>
      <c r="G118" s="70" t="str">
        <f>IFERROR(IF($L117="","",INDEX(Ledger!$F$6:$F$205,$L117)),"—")</f>
        <v/>
      </c>
      <c r="H118" s="70" t="str">
        <f>IFERROR(IF($L117="","",INDEX(Ledger!$G$6:$G$205,$L117)),"—")</f>
        <v/>
      </c>
      <c r="I118" s="70" t="str">
        <f>IFERROR(IF($L117="","",INDEX(Ledger!$H$6:$H$205,$L117)),"—")</f>
        <v/>
      </c>
      <c r="J118" s="1"/>
      <c r="K118" s="1"/>
      <c r="L118" s="1" t="str">
        <f>IFERROR(SMALL(IF((Ledger!$D$6:$D$205=$C$4)*IF($C$5="All Years",1,YEAR(Ledger!$A$6:$A$205)=IF($C$5="All Years",0,VALUE($C$5))),ROW(Ledger!$D$6:$D$205)-ROW(Ledger!$D$6)+1),78),"")</f>
        <v/>
      </c>
      <c r="M118" s="1"/>
    </row>
    <row r="119" spans="1:13" ht="20" customHeight="1" x14ac:dyDescent="0.35">
      <c r="A119" s="71" t="str">
        <f>IF($L118="","",78)</f>
        <v/>
      </c>
      <c r="B119" s="72" t="str">
        <f>IFERROR(IF($L118="","",INDEX(Ledger!$A$6:$A$205,$L118)),"—")</f>
        <v/>
      </c>
      <c r="C119" s="73" t="str">
        <f>IFERROR(IF($L118="","",INDEX(Ledger!$B$6:$B$205,$L118)),"—")</f>
        <v/>
      </c>
      <c r="D119" s="73" t="str">
        <f>IFERROR(IF($L118="","",INDEX(Ledger!$C$6:$C$205,$L118)),"—")</f>
        <v/>
      </c>
      <c r="E119" s="73" t="str">
        <f>IFERROR(IF($L118="","",INDEX(Ledger!$D$6:$D$205,$L118)),"—")</f>
        <v/>
      </c>
      <c r="F119" s="73" t="str">
        <f>IFERROR(IF($L118="","",INDEX(Ledger!$E$6:$E$205,$L118)),"—")</f>
        <v/>
      </c>
      <c r="G119" s="74" t="str">
        <f>IFERROR(IF($L118="","",INDEX(Ledger!$F$6:$F$205,$L118)),"—")</f>
        <v/>
      </c>
      <c r="H119" s="74" t="str">
        <f>IFERROR(IF($L118="","",INDEX(Ledger!$G$6:$G$205,$L118)),"—")</f>
        <v/>
      </c>
      <c r="I119" s="74" t="str">
        <f>IFERROR(IF($L118="","",INDEX(Ledger!$H$6:$H$205,$L118)),"—")</f>
        <v/>
      </c>
      <c r="J119" s="1"/>
      <c r="K119" s="1"/>
      <c r="L119" s="1" t="str">
        <f>IFERROR(SMALL(IF((Ledger!$D$6:$D$205=$C$4)*IF($C$5="All Years",1,YEAR(Ledger!$A$6:$A$205)=IF($C$5="All Years",0,VALUE($C$5))),ROW(Ledger!$D$6:$D$205)-ROW(Ledger!$D$6)+1),79),"")</f>
        <v/>
      </c>
      <c r="M119" s="1"/>
    </row>
    <row r="120" spans="1:13" ht="20" customHeight="1" x14ac:dyDescent="0.35">
      <c r="A120" s="67" t="str">
        <f>IF($L119="","",79)</f>
        <v/>
      </c>
      <c r="B120" s="68" t="str">
        <f>IFERROR(IF($L119="","",INDEX(Ledger!$A$6:$A$205,$L119)),"—")</f>
        <v/>
      </c>
      <c r="C120" s="69" t="str">
        <f>IFERROR(IF($L119="","",INDEX(Ledger!$B$6:$B$205,$L119)),"—")</f>
        <v/>
      </c>
      <c r="D120" s="69" t="str">
        <f>IFERROR(IF($L119="","",INDEX(Ledger!$C$6:$C$205,$L119)),"—")</f>
        <v/>
      </c>
      <c r="E120" s="69" t="str">
        <f>IFERROR(IF($L119="","",INDEX(Ledger!$D$6:$D$205,$L119)),"—")</f>
        <v/>
      </c>
      <c r="F120" s="69" t="str">
        <f>IFERROR(IF($L119="","",INDEX(Ledger!$E$6:$E$205,$L119)),"—")</f>
        <v/>
      </c>
      <c r="G120" s="70" t="str">
        <f>IFERROR(IF($L119="","",INDEX(Ledger!$F$6:$F$205,$L119)),"—")</f>
        <v/>
      </c>
      <c r="H120" s="70" t="str">
        <f>IFERROR(IF($L119="","",INDEX(Ledger!$G$6:$G$205,$L119)),"—")</f>
        <v/>
      </c>
      <c r="I120" s="70" t="str">
        <f>IFERROR(IF($L119="","",INDEX(Ledger!$H$6:$H$205,$L119)),"—")</f>
        <v/>
      </c>
      <c r="J120" s="1"/>
      <c r="K120" s="1"/>
      <c r="L120" s="1" t="str">
        <f>IFERROR(SMALL(IF((Ledger!$D$6:$D$205=$C$4)*IF($C$5="All Years",1,YEAR(Ledger!$A$6:$A$205)=IF($C$5="All Years",0,VALUE($C$5))),ROW(Ledger!$D$6:$D$205)-ROW(Ledger!$D$6)+1),80),"")</f>
        <v/>
      </c>
      <c r="M120" s="1"/>
    </row>
    <row r="121" spans="1:13" ht="20" customHeight="1" x14ac:dyDescent="0.35">
      <c r="A121" s="71" t="str">
        <f>IF($L120="","",80)</f>
        <v/>
      </c>
      <c r="B121" s="72" t="str">
        <f>IFERROR(IF($L120="","",INDEX(Ledger!$A$6:$A$205,$L120)),"—")</f>
        <v/>
      </c>
      <c r="C121" s="73" t="str">
        <f>IFERROR(IF($L120="","",INDEX(Ledger!$B$6:$B$205,$L120)),"—")</f>
        <v/>
      </c>
      <c r="D121" s="73" t="str">
        <f>IFERROR(IF($L120="","",INDEX(Ledger!$C$6:$C$205,$L120)),"—")</f>
        <v/>
      </c>
      <c r="E121" s="73" t="str">
        <f>IFERROR(IF($L120="","",INDEX(Ledger!$D$6:$D$205,$L120)),"—")</f>
        <v/>
      </c>
      <c r="F121" s="73" t="str">
        <f>IFERROR(IF($L120="","",INDEX(Ledger!$E$6:$E$205,$L120)),"—")</f>
        <v/>
      </c>
      <c r="G121" s="74" t="str">
        <f>IFERROR(IF($L120="","",INDEX(Ledger!$F$6:$F$205,$L120)),"—")</f>
        <v/>
      </c>
      <c r="H121" s="74" t="str">
        <f>IFERROR(IF($L120="","",INDEX(Ledger!$G$6:$G$205,$L120)),"—")</f>
        <v/>
      </c>
      <c r="I121" s="74" t="str">
        <f>IFERROR(IF($L120="","",INDEX(Ledger!$H$6:$H$205,$L120)),"—")</f>
        <v/>
      </c>
      <c r="J121" s="1"/>
      <c r="K121" s="1"/>
      <c r="L121" s="1" t="str">
        <f>IFERROR(SMALL(IF((Ledger!$D$6:$D$205=$C$4)*IF($C$5="All Years",1,YEAR(Ledger!$A$6:$A$205)=IF($C$5="All Years",0,VALUE($C$5))),ROW(Ledger!$D$6:$D$205)-ROW(Ledger!$D$6)+1),81),"")</f>
        <v/>
      </c>
      <c r="M121" s="1"/>
    </row>
    <row r="122" spans="1:13" ht="20" customHeight="1" x14ac:dyDescent="0.35">
      <c r="A122" s="67" t="str">
        <f>IF($L121="","",81)</f>
        <v/>
      </c>
      <c r="B122" s="68" t="str">
        <f>IFERROR(IF($L121="","",INDEX(Ledger!$A$6:$A$205,$L121)),"—")</f>
        <v/>
      </c>
      <c r="C122" s="69" t="str">
        <f>IFERROR(IF($L121="","",INDEX(Ledger!$B$6:$B$205,$L121)),"—")</f>
        <v/>
      </c>
      <c r="D122" s="69" t="str">
        <f>IFERROR(IF($L121="","",INDEX(Ledger!$C$6:$C$205,$L121)),"—")</f>
        <v/>
      </c>
      <c r="E122" s="69" t="str">
        <f>IFERROR(IF($L121="","",INDEX(Ledger!$D$6:$D$205,$L121)),"—")</f>
        <v/>
      </c>
      <c r="F122" s="69" t="str">
        <f>IFERROR(IF($L121="","",INDEX(Ledger!$E$6:$E$205,$L121)),"—")</f>
        <v/>
      </c>
      <c r="G122" s="70" t="str">
        <f>IFERROR(IF($L121="","",INDEX(Ledger!$F$6:$F$205,$L121)),"—")</f>
        <v/>
      </c>
      <c r="H122" s="70" t="str">
        <f>IFERROR(IF($L121="","",INDEX(Ledger!$G$6:$G$205,$L121)),"—")</f>
        <v/>
      </c>
      <c r="I122" s="70" t="str">
        <f>IFERROR(IF($L121="","",INDEX(Ledger!$H$6:$H$205,$L121)),"—")</f>
        <v/>
      </c>
      <c r="J122" s="1"/>
      <c r="K122" s="1"/>
      <c r="L122" s="1" t="str">
        <f>IFERROR(SMALL(IF((Ledger!$D$6:$D$205=$C$4)*IF($C$5="All Years",1,YEAR(Ledger!$A$6:$A$205)=IF($C$5="All Years",0,VALUE($C$5))),ROW(Ledger!$D$6:$D$205)-ROW(Ledger!$D$6)+1),82),"")</f>
        <v/>
      </c>
      <c r="M122" s="1"/>
    </row>
    <row r="123" spans="1:13" ht="20" customHeight="1" x14ac:dyDescent="0.35">
      <c r="A123" s="71" t="str">
        <f>IF($L122="","",82)</f>
        <v/>
      </c>
      <c r="B123" s="72" t="str">
        <f>IFERROR(IF($L122="","",INDEX(Ledger!$A$6:$A$205,$L122)),"—")</f>
        <v/>
      </c>
      <c r="C123" s="73" t="str">
        <f>IFERROR(IF($L122="","",INDEX(Ledger!$B$6:$B$205,$L122)),"—")</f>
        <v/>
      </c>
      <c r="D123" s="73" t="str">
        <f>IFERROR(IF($L122="","",INDEX(Ledger!$C$6:$C$205,$L122)),"—")</f>
        <v/>
      </c>
      <c r="E123" s="73" t="str">
        <f>IFERROR(IF($L122="","",INDEX(Ledger!$D$6:$D$205,$L122)),"—")</f>
        <v/>
      </c>
      <c r="F123" s="73" t="str">
        <f>IFERROR(IF($L122="","",INDEX(Ledger!$E$6:$E$205,$L122)),"—")</f>
        <v/>
      </c>
      <c r="G123" s="74" t="str">
        <f>IFERROR(IF($L122="","",INDEX(Ledger!$F$6:$F$205,$L122)),"—")</f>
        <v/>
      </c>
      <c r="H123" s="74" t="str">
        <f>IFERROR(IF($L122="","",INDEX(Ledger!$G$6:$G$205,$L122)),"—")</f>
        <v/>
      </c>
      <c r="I123" s="74" t="str">
        <f>IFERROR(IF($L122="","",INDEX(Ledger!$H$6:$H$205,$L122)),"—")</f>
        <v/>
      </c>
      <c r="J123" s="1"/>
      <c r="K123" s="1"/>
      <c r="L123" s="1" t="str">
        <f>IFERROR(SMALL(IF((Ledger!$D$6:$D$205=$C$4)*IF($C$5="All Years",1,YEAR(Ledger!$A$6:$A$205)=IF($C$5="All Years",0,VALUE($C$5))),ROW(Ledger!$D$6:$D$205)-ROW(Ledger!$D$6)+1),83),"")</f>
        <v/>
      </c>
      <c r="M123" s="1"/>
    </row>
    <row r="124" spans="1:13" ht="20" customHeight="1" x14ac:dyDescent="0.35">
      <c r="A124" s="67" t="str">
        <f>IF($L123="","",83)</f>
        <v/>
      </c>
      <c r="B124" s="68" t="str">
        <f>IFERROR(IF($L123="","",INDEX(Ledger!$A$6:$A$205,$L123)),"—")</f>
        <v/>
      </c>
      <c r="C124" s="69" t="str">
        <f>IFERROR(IF($L123="","",INDEX(Ledger!$B$6:$B$205,$L123)),"—")</f>
        <v/>
      </c>
      <c r="D124" s="69" t="str">
        <f>IFERROR(IF($L123="","",INDEX(Ledger!$C$6:$C$205,$L123)),"—")</f>
        <v/>
      </c>
      <c r="E124" s="69" t="str">
        <f>IFERROR(IF($L123="","",INDEX(Ledger!$D$6:$D$205,$L123)),"—")</f>
        <v/>
      </c>
      <c r="F124" s="69" t="str">
        <f>IFERROR(IF($L123="","",INDEX(Ledger!$E$6:$E$205,$L123)),"—")</f>
        <v/>
      </c>
      <c r="G124" s="70" t="str">
        <f>IFERROR(IF($L123="","",INDEX(Ledger!$F$6:$F$205,$L123)),"—")</f>
        <v/>
      </c>
      <c r="H124" s="70" t="str">
        <f>IFERROR(IF($L123="","",INDEX(Ledger!$G$6:$G$205,$L123)),"—")</f>
        <v/>
      </c>
      <c r="I124" s="70" t="str">
        <f>IFERROR(IF($L123="","",INDEX(Ledger!$H$6:$H$205,$L123)),"—")</f>
        <v/>
      </c>
      <c r="J124" s="1"/>
      <c r="K124" s="1"/>
      <c r="L124" s="1" t="str">
        <f>IFERROR(SMALL(IF((Ledger!$D$6:$D$205=$C$4)*IF($C$5="All Years",1,YEAR(Ledger!$A$6:$A$205)=IF($C$5="All Years",0,VALUE($C$5))),ROW(Ledger!$D$6:$D$205)-ROW(Ledger!$D$6)+1),84),"")</f>
        <v/>
      </c>
      <c r="M124" s="1"/>
    </row>
    <row r="125" spans="1:13" ht="20" customHeight="1" x14ac:dyDescent="0.35">
      <c r="A125" s="71" t="str">
        <f>IF($L124="","",84)</f>
        <v/>
      </c>
      <c r="B125" s="72" t="str">
        <f>IFERROR(IF($L124="","",INDEX(Ledger!$A$6:$A$205,$L124)),"—")</f>
        <v/>
      </c>
      <c r="C125" s="73" t="str">
        <f>IFERROR(IF($L124="","",INDEX(Ledger!$B$6:$B$205,$L124)),"—")</f>
        <v/>
      </c>
      <c r="D125" s="73" t="str">
        <f>IFERROR(IF($L124="","",INDEX(Ledger!$C$6:$C$205,$L124)),"—")</f>
        <v/>
      </c>
      <c r="E125" s="73" t="str">
        <f>IFERROR(IF($L124="","",INDEX(Ledger!$D$6:$D$205,$L124)),"—")</f>
        <v/>
      </c>
      <c r="F125" s="73" t="str">
        <f>IFERROR(IF($L124="","",INDEX(Ledger!$E$6:$E$205,$L124)),"—")</f>
        <v/>
      </c>
      <c r="G125" s="74" t="str">
        <f>IFERROR(IF($L124="","",INDEX(Ledger!$F$6:$F$205,$L124)),"—")</f>
        <v/>
      </c>
      <c r="H125" s="74" t="str">
        <f>IFERROR(IF($L124="","",INDEX(Ledger!$G$6:$G$205,$L124)),"—")</f>
        <v/>
      </c>
      <c r="I125" s="74" t="str">
        <f>IFERROR(IF($L124="","",INDEX(Ledger!$H$6:$H$205,$L124)),"—")</f>
        <v/>
      </c>
      <c r="J125" s="1"/>
      <c r="K125" s="1"/>
      <c r="L125" s="1" t="str">
        <f>IFERROR(SMALL(IF((Ledger!$D$6:$D$205=$C$4)*IF($C$5="All Years",1,YEAR(Ledger!$A$6:$A$205)=IF($C$5="All Years",0,VALUE($C$5))),ROW(Ledger!$D$6:$D$205)-ROW(Ledger!$D$6)+1),85),"")</f>
        <v/>
      </c>
      <c r="M125" s="1"/>
    </row>
    <row r="126" spans="1:13" ht="20" customHeight="1" x14ac:dyDescent="0.35">
      <c r="A126" s="67" t="str">
        <f>IF($L125="","",85)</f>
        <v/>
      </c>
      <c r="B126" s="68" t="str">
        <f>IFERROR(IF($L125="","",INDEX(Ledger!$A$6:$A$205,$L125)),"—")</f>
        <v/>
      </c>
      <c r="C126" s="69" t="str">
        <f>IFERROR(IF($L125="","",INDEX(Ledger!$B$6:$B$205,$L125)),"—")</f>
        <v/>
      </c>
      <c r="D126" s="69" t="str">
        <f>IFERROR(IF($L125="","",INDEX(Ledger!$C$6:$C$205,$L125)),"—")</f>
        <v/>
      </c>
      <c r="E126" s="69" t="str">
        <f>IFERROR(IF($L125="","",INDEX(Ledger!$D$6:$D$205,$L125)),"—")</f>
        <v/>
      </c>
      <c r="F126" s="69" t="str">
        <f>IFERROR(IF($L125="","",INDEX(Ledger!$E$6:$E$205,$L125)),"—")</f>
        <v/>
      </c>
      <c r="G126" s="70" t="str">
        <f>IFERROR(IF($L125="","",INDEX(Ledger!$F$6:$F$205,$L125)),"—")</f>
        <v/>
      </c>
      <c r="H126" s="70" t="str">
        <f>IFERROR(IF($L125="","",INDEX(Ledger!$G$6:$G$205,$L125)),"—")</f>
        <v/>
      </c>
      <c r="I126" s="70" t="str">
        <f>IFERROR(IF($L125="","",INDEX(Ledger!$H$6:$H$205,$L125)),"—")</f>
        <v/>
      </c>
      <c r="J126" s="1"/>
      <c r="K126" s="1"/>
      <c r="L126" s="1" t="str">
        <f>IFERROR(SMALL(IF((Ledger!$D$6:$D$205=$C$4)*IF($C$5="All Years",1,YEAR(Ledger!$A$6:$A$205)=IF($C$5="All Years",0,VALUE($C$5))),ROW(Ledger!$D$6:$D$205)-ROW(Ledger!$D$6)+1),86),"")</f>
        <v/>
      </c>
      <c r="M126" s="1"/>
    </row>
    <row r="127" spans="1:13" ht="20" customHeight="1" x14ac:dyDescent="0.35">
      <c r="A127" s="71" t="str">
        <f>IF($L126="","",86)</f>
        <v/>
      </c>
      <c r="B127" s="72" t="str">
        <f>IFERROR(IF($L126="","",INDEX(Ledger!$A$6:$A$205,$L126)),"—")</f>
        <v/>
      </c>
      <c r="C127" s="73" t="str">
        <f>IFERROR(IF($L126="","",INDEX(Ledger!$B$6:$B$205,$L126)),"—")</f>
        <v/>
      </c>
      <c r="D127" s="73" t="str">
        <f>IFERROR(IF($L126="","",INDEX(Ledger!$C$6:$C$205,$L126)),"—")</f>
        <v/>
      </c>
      <c r="E127" s="73" t="str">
        <f>IFERROR(IF($L126="","",INDEX(Ledger!$D$6:$D$205,$L126)),"—")</f>
        <v/>
      </c>
      <c r="F127" s="73" t="str">
        <f>IFERROR(IF($L126="","",INDEX(Ledger!$E$6:$E$205,$L126)),"—")</f>
        <v/>
      </c>
      <c r="G127" s="74" t="str">
        <f>IFERROR(IF($L126="","",INDEX(Ledger!$F$6:$F$205,$L126)),"—")</f>
        <v/>
      </c>
      <c r="H127" s="74" t="str">
        <f>IFERROR(IF($L126="","",INDEX(Ledger!$G$6:$G$205,$L126)),"—")</f>
        <v/>
      </c>
      <c r="I127" s="74" t="str">
        <f>IFERROR(IF($L126="","",INDEX(Ledger!$H$6:$H$205,$L126)),"—")</f>
        <v/>
      </c>
      <c r="J127" s="1"/>
      <c r="K127" s="1"/>
      <c r="L127" s="1" t="str">
        <f>IFERROR(SMALL(IF((Ledger!$D$6:$D$205=$C$4)*IF($C$5="All Years",1,YEAR(Ledger!$A$6:$A$205)=IF($C$5="All Years",0,VALUE($C$5))),ROW(Ledger!$D$6:$D$205)-ROW(Ledger!$D$6)+1),87),"")</f>
        <v/>
      </c>
      <c r="M127" s="1"/>
    </row>
    <row r="128" spans="1:13" ht="20" customHeight="1" x14ac:dyDescent="0.35">
      <c r="A128" s="67" t="str">
        <f>IF($L127="","",87)</f>
        <v/>
      </c>
      <c r="B128" s="68" t="str">
        <f>IFERROR(IF($L127="","",INDEX(Ledger!$A$6:$A$205,$L127)),"—")</f>
        <v/>
      </c>
      <c r="C128" s="69" t="str">
        <f>IFERROR(IF($L127="","",INDEX(Ledger!$B$6:$B$205,$L127)),"—")</f>
        <v/>
      </c>
      <c r="D128" s="69" t="str">
        <f>IFERROR(IF($L127="","",INDEX(Ledger!$C$6:$C$205,$L127)),"—")</f>
        <v/>
      </c>
      <c r="E128" s="69" t="str">
        <f>IFERROR(IF($L127="","",INDEX(Ledger!$D$6:$D$205,$L127)),"—")</f>
        <v/>
      </c>
      <c r="F128" s="69" t="str">
        <f>IFERROR(IF($L127="","",INDEX(Ledger!$E$6:$E$205,$L127)),"—")</f>
        <v/>
      </c>
      <c r="G128" s="70" t="str">
        <f>IFERROR(IF($L127="","",INDEX(Ledger!$F$6:$F$205,$L127)),"—")</f>
        <v/>
      </c>
      <c r="H128" s="70" t="str">
        <f>IFERROR(IF($L127="","",INDEX(Ledger!$G$6:$G$205,$L127)),"—")</f>
        <v/>
      </c>
      <c r="I128" s="70" t="str">
        <f>IFERROR(IF($L127="","",INDEX(Ledger!$H$6:$H$205,$L127)),"—")</f>
        <v/>
      </c>
      <c r="J128" s="1"/>
      <c r="K128" s="1"/>
      <c r="L128" s="1" t="str">
        <f>IFERROR(SMALL(IF((Ledger!$D$6:$D$205=$C$4)*IF($C$5="All Years",1,YEAR(Ledger!$A$6:$A$205)=IF($C$5="All Years",0,VALUE($C$5))),ROW(Ledger!$D$6:$D$205)-ROW(Ledger!$D$6)+1),88),"")</f>
        <v/>
      </c>
      <c r="M128" s="1"/>
    </row>
    <row r="129" spans="1:13" ht="20" customHeight="1" x14ac:dyDescent="0.35">
      <c r="A129" s="71" t="str">
        <f>IF($L128="","",88)</f>
        <v/>
      </c>
      <c r="B129" s="72" t="str">
        <f>IFERROR(IF($L128="","",INDEX(Ledger!$A$6:$A$205,$L128)),"—")</f>
        <v/>
      </c>
      <c r="C129" s="73" t="str">
        <f>IFERROR(IF($L128="","",INDEX(Ledger!$B$6:$B$205,$L128)),"—")</f>
        <v/>
      </c>
      <c r="D129" s="73" t="str">
        <f>IFERROR(IF($L128="","",INDEX(Ledger!$C$6:$C$205,$L128)),"—")</f>
        <v/>
      </c>
      <c r="E129" s="73" t="str">
        <f>IFERROR(IF($L128="","",INDEX(Ledger!$D$6:$D$205,$L128)),"—")</f>
        <v/>
      </c>
      <c r="F129" s="73" t="str">
        <f>IFERROR(IF($L128="","",INDEX(Ledger!$E$6:$E$205,$L128)),"—")</f>
        <v/>
      </c>
      <c r="G129" s="74" t="str">
        <f>IFERROR(IF($L128="","",INDEX(Ledger!$F$6:$F$205,$L128)),"—")</f>
        <v/>
      </c>
      <c r="H129" s="74" t="str">
        <f>IFERROR(IF($L128="","",INDEX(Ledger!$G$6:$G$205,$L128)),"—")</f>
        <v/>
      </c>
      <c r="I129" s="74" t="str">
        <f>IFERROR(IF($L128="","",INDEX(Ledger!$H$6:$H$205,$L128)),"—")</f>
        <v/>
      </c>
      <c r="J129" s="1"/>
      <c r="K129" s="1"/>
      <c r="L129" s="1" t="str">
        <f>IFERROR(SMALL(IF((Ledger!$D$6:$D$205=$C$4)*IF($C$5="All Years",1,YEAR(Ledger!$A$6:$A$205)=IF($C$5="All Years",0,VALUE($C$5))),ROW(Ledger!$D$6:$D$205)-ROW(Ledger!$D$6)+1),89),"")</f>
        <v/>
      </c>
      <c r="M129" s="1"/>
    </row>
    <row r="130" spans="1:13" ht="20" customHeight="1" x14ac:dyDescent="0.35">
      <c r="A130" s="67" t="str">
        <f>IF($L129="","",89)</f>
        <v/>
      </c>
      <c r="B130" s="68" t="str">
        <f>IFERROR(IF($L129="","",INDEX(Ledger!$A$6:$A$205,$L129)),"—")</f>
        <v/>
      </c>
      <c r="C130" s="69" t="str">
        <f>IFERROR(IF($L129="","",INDEX(Ledger!$B$6:$B$205,$L129)),"—")</f>
        <v/>
      </c>
      <c r="D130" s="69" t="str">
        <f>IFERROR(IF($L129="","",INDEX(Ledger!$C$6:$C$205,$L129)),"—")</f>
        <v/>
      </c>
      <c r="E130" s="69" t="str">
        <f>IFERROR(IF($L129="","",INDEX(Ledger!$D$6:$D$205,$L129)),"—")</f>
        <v/>
      </c>
      <c r="F130" s="69" t="str">
        <f>IFERROR(IF($L129="","",INDEX(Ledger!$E$6:$E$205,$L129)),"—")</f>
        <v/>
      </c>
      <c r="G130" s="70" t="str">
        <f>IFERROR(IF($L129="","",INDEX(Ledger!$F$6:$F$205,$L129)),"—")</f>
        <v/>
      </c>
      <c r="H130" s="70" t="str">
        <f>IFERROR(IF($L129="","",INDEX(Ledger!$G$6:$G$205,$L129)),"—")</f>
        <v/>
      </c>
      <c r="I130" s="70" t="str">
        <f>IFERROR(IF($L129="","",INDEX(Ledger!$H$6:$H$205,$L129)),"—")</f>
        <v/>
      </c>
      <c r="J130" s="1"/>
      <c r="K130" s="1"/>
      <c r="L130" s="1" t="str">
        <f>IFERROR(SMALL(IF((Ledger!$D$6:$D$205=$C$4)*IF($C$5="All Years",1,YEAR(Ledger!$A$6:$A$205)=IF($C$5="All Years",0,VALUE($C$5))),ROW(Ledger!$D$6:$D$205)-ROW(Ledger!$D$6)+1),90),"")</f>
        <v/>
      </c>
      <c r="M130" s="1"/>
    </row>
    <row r="131" spans="1:13" ht="20" customHeight="1" x14ac:dyDescent="0.35">
      <c r="A131" s="71" t="str">
        <f>IF($L130="","",90)</f>
        <v/>
      </c>
      <c r="B131" s="72" t="str">
        <f>IFERROR(IF($L130="","",INDEX(Ledger!$A$6:$A$205,$L130)),"—")</f>
        <v/>
      </c>
      <c r="C131" s="73" t="str">
        <f>IFERROR(IF($L130="","",INDEX(Ledger!$B$6:$B$205,$L130)),"—")</f>
        <v/>
      </c>
      <c r="D131" s="73" t="str">
        <f>IFERROR(IF($L130="","",INDEX(Ledger!$C$6:$C$205,$L130)),"—")</f>
        <v/>
      </c>
      <c r="E131" s="73" t="str">
        <f>IFERROR(IF($L130="","",INDEX(Ledger!$D$6:$D$205,$L130)),"—")</f>
        <v/>
      </c>
      <c r="F131" s="73" t="str">
        <f>IFERROR(IF($L130="","",INDEX(Ledger!$E$6:$E$205,$L130)),"—")</f>
        <v/>
      </c>
      <c r="G131" s="74" t="str">
        <f>IFERROR(IF($L130="","",INDEX(Ledger!$F$6:$F$205,$L130)),"—")</f>
        <v/>
      </c>
      <c r="H131" s="74" t="str">
        <f>IFERROR(IF($L130="","",INDEX(Ledger!$G$6:$G$205,$L130)),"—")</f>
        <v/>
      </c>
      <c r="I131" s="74" t="str">
        <f>IFERROR(IF($L130="","",INDEX(Ledger!$H$6:$H$205,$L130)),"—")</f>
        <v/>
      </c>
      <c r="J131" s="1"/>
      <c r="K131" s="1"/>
      <c r="L131" s="1" t="str">
        <f>IFERROR(SMALL(IF((Ledger!$D$6:$D$205=$C$4)*IF($C$5="All Years",1,YEAR(Ledger!$A$6:$A$205)=IF($C$5="All Years",0,VALUE($C$5))),ROW(Ledger!$D$6:$D$205)-ROW(Ledger!$D$6)+1),91),"")</f>
        <v/>
      </c>
      <c r="M131" s="1"/>
    </row>
    <row r="132" spans="1:13" ht="20" customHeight="1" x14ac:dyDescent="0.35">
      <c r="A132" s="67" t="str">
        <f>IF($L131="","",91)</f>
        <v/>
      </c>
      <c r="B132" s="68" t="str">
        <f>IFERROR(IF($L131="","",INDEX(Ledger!$A$6:$A$205,$L131)),"—")</f>
        <v/>
      </c>
      <c r="C132" s="69" t="str">
        <f>IFERROR(IF($L131="","",INDEX(Ledger!$B$6:$B$205,$L131)),"—")</f>
        <v/>
      </c>
      <c r="D132" s="69" t="str">
        <f>IFERROR(IF($L131="","",INDEX(Ledger!$C$6:$C$205,$L131)),"—")</f>
        <v/>
      </c>
      <c r="E132" s="69" t="str">
        <f>IFERROR(IF($L131="","",INDEX(Ledger!$D$6:$D$205,$L131)),"—")</f>
        <v/>
      </c>
      <c r="F132" s="69" t="str">
        <f>IFERROR(IF($L131="","",INDEX(Ledger!$E$6:$E$205,$L131)),"—")</f>
        <v/>
      </c>
      <c r="G132" s="70" t="str">
        <f>IFERROR(IF($L131="","",INDEX(Ledger!$F$6:$F$205,$L131)),"—")</f>
        <v/>
      </c>
      <c r="H132" s="70" t="str">
        <f>IFERROR(IF($L131="","",INDEX(Ledger!$G$6:$G$205,$L131)),"—")</f>
        <v/>
      </c>
      <c r="I132" s="70" t="str">
        <f>IFERROR(IF($L131="","",INDEX(Ledger!$H$6:$H$205,$L131)),"—")</f>
        <v/>
      </c>
      <c r="J132" s="1"/>
      <c r="K132" s="1"/>
      <c r="L132" s="1" t="str">
        <f>IFERROR(SMALL(IF((Ledger!$D$6:$D$205=$C$4)*IF($C$5="All Years",1,YEAR(Ledger!$A$6:$A$205)=IF($C$5="All Years",0,VALUE($C$5))),ROW(Ledger!$D$6:$D$205)-ROW(Ledger!$D$6)+1),92),"")</f>
        <v/>
      </c>
      <c r="M132" s="1"/>
    </row>
    <row r="133" spans="1:13" ht="20" customHeight="1" x14ac:dyDescent="0.35">
      <c r="A133" s="71" t="str">
        <f>IF($L132="","",92)</f>
        <v/>
      </c>
      <c r="B133" s="72" t="str">
        <f>IFERROR(IF($L132="","",INDEX(Ledger!$A$6:$A$205,$L132)),"—")</f>
        <v/>
      </c>
      <c r="C133" s="73" t="str">
        <f>IFERROR(IF($L132="","",INDEX(Ledger!$B$6:$B$205,$L132)),"—")</f>
        <v/>
      </c>
      <c r="D133" s="73" t="str">
        <f>IFERROR(IF($L132="","",INDEX(Ledger!$C$6:$C$205,$L132)),"—")</f>
        <v/>
      </c>
      <c r="E133" s="73" t="str">
        <f>IFERROR(IF($L132="","",INDEX(Ledger!$D$6:$D$205,$L132)),"—")</f>
        <v/>
      </c>
      <c r="F133" s="73" t="str">
        <f>IFERROR(IF($L132="","",INDEX(Ledger!$E$6:$E$205,$L132)),"—")</f>
        <v/>
      </c>
      <c r="G133" s="74" t="str">
        <f>IFERROR(IF($L132="","",INDEX(Ledger!$F$6:$F$205,$L132)),"—")</f>
        <v/>
      </c>
      <c r="H133" s="74" t="str">
        <f>IFERROR(IF($L132="","",INDEX(Ledger!$G$6:$G$205,$L132)),"—")</f>
        <v/>
      </c>
      <c r="I133" s="74" t="str">
        <f>IFERROR(IF($L132="","",INDEX(Ledger!$H$6:$H$205,$L132)),"—")</f>
        <v/>
      </c>
      <c r="J133" s="1"/>
      <c r="K133" s="1"/>
      <c r="L133" s="1" t="str">
        <f>IFERROR(SMALL(IF((Ledger!$D$6:$D$205=$C$4)*IF($C$5="All Years",1,YEAR(Ledger!$A$6:$A$205)=IF($C$5="All Years",0,VALUE($C$5))),ROW(Ledger!$D$6:$D$205)-ROW(Ledger!$D$6)+1),93),"")</f>
        <v/>
      </c>
      <c r="M133" s="1"/>
    </row>
    <row r="134" spans="1:13" ht="20" customHeight="1" x14ac:dyDescent="0.35">
      <c r="A134" s="67" t="str">
        <f>IF($L133="","",93)</f>
        <v/>
      </c>
      <c r="B134" s="68" t="str">
        <f>IFERROR(IF($L133="","",INDEX(Ledger!$A$6:$A$205,$L133)),"—")</f>
        <v/>
      </c>
      <c r="C134" s="69" t="str">
        <f>IFERROR(IF($L133="","",INDEX(Ledger!$B$6:$B$205,$L133)),"—")</f>
        <v/>
      </c>
      <c r="D134" s="69" t="str">
        <f>IFERROR(IF($L133="","",INDEX(Ledger!$C$6:$C$205,$L133)),"—")</f>
        <v/>
      </c>
      <c r="E134" s="69" t="str">
        <f>IFERROR(IF($L133="","",INDEX(Ledger!$D$6:$D$205,$L133)),"—")</f>
        <v/>
      </c>
      <c r="F134" s="69" t="str">
        <f>IFERROR(IF($L133="","",INDEX(Ledger!$E$6:$E$205,$L133)),"—")</f>
        <v/>
      </c>
      <c r="G134" s="70" t="str">
        <f>IFERROR(IF($L133="","",INDEX(Ledger!$F$6:$F$205,$L133)),"—")</f>
        <v/>
      </c>
      <c r="H134" s="70" t="str">
        <f>IFERROR(IF($L133="","",INDEX(Ledger!$G$6:$G$205,$L133)),"—")</f>
        <v/>
      </c>
      <c r="I134" s="70" t="str">
        <f>IFERROR(IF($L133="","",INDEX(Ledger!$H$6:$H$205,$L133)),"—")</f>
        <v/>
      </c>
      <c r="J134" s="1"/>
      <c r="K134" s="1"/>
      <c r="L134" s="1" t="str">
        <f>IFERROR(SMALL(IF((Ledger!$D$6:$D$205=$C$4)*IF($C$5="All Years",1,YEAR(Ledger!$A$6:$A$205)=IF($C$5="All Years",0,VALUE($C$5))),ROW(Ledger!$D$6:$D$205)-ROW(Ledger!$D$6)+1),94),"")</f>
        <v/>
      </c>
      <c r="M134" s="1"/>
    </row>
    <row r="135" spans="1:13" ht="20" customHeight="1" x14ac:dyDescent="0.35">
      <c r="A135" s="71" t="str">
        <f>IF($L134="","",94)</f>
        <v/>
      </c>
      <c r="B135" s="72" t="str">
        <f>IFERROR(IF($L134="","",INDEX(Ledger!$A$6:$A$205,$L134)),"—")</f>
        <v/>
      </c>
      <c r="C135" s="73" t="str">
        <f>IFERROR(IF($L134="","",INDEX(Ledger!$B$6:$B$205,$L134)),"—")</f>
        <v/>
      </c>
      <c r="D135" s="73" t="str">
        <f>IFERROR(IF($L134="","",INDEX(Ledger!$C$6:$C$205,$L134)),"—")</f>
        <v/>
      </c>
      <c r="E135" s="73" t="str">
        <f>IFERROR(IF($L134="","",INDEX(Ledger!$D$6:$D$205,$L134)),"—")</f>
        <v/>
      </c>
      <c r="F135" s="73" t="str">
        <f>IFERROR(IF($L134="","",INDEX(Ledger!$E$6:$E$205,$L134)),"—")</f>
        <v/>
      </c>
      <c r="G135" s="74" t="str">
        <f>IFERROR(IF($L134="","",INDEX(Ledger!$F$6:$F$205,$L134)),"—")</f>
        <v/>
      </c>
      <c r="H135" s="74" t="str">
        <f>IFERROR(IF($L134="","",INDEX(Ledger!$G$6:$G$205,$L134)),"—")</f>
        <v/>
      </c>
      <c r="I135" s="74" t="str">
        <f>IFERROR(IF($L134="","",INDEX(Ledger!$H$6:$H$205,$L134)),"—")</f>
        <v/>
      </c>
      <c r="J135" s="1"/>
      <c r="K135" s="1"/>
      <c r="L135" s="1" t="str">
        <f>IFERROR(SMALL(IF((Ledger!$D$6:$D$205=$C$4)*IF($C$5="All Years",1,YEAR(Ledger!$A$6:$A$205)=IF($C$5="All Years",0,VALUE($C$5))),ROW(Ledger!$D$6:$D$205)-ROW(Ledger!$D$6)+1),95),"")</f>
        <v/>
      </c>
      <c r="M135" s="1"/>
    </row>
    <row r="136" spans="1:13" ht="20" customHeight="1" x14ac:dyDescent="0.35">
      <c r="A136" s="67" t="str">
        <f>IF($L135="","",95)</f>
        <v/>
      </c>
      <c r="B136" s="68" t="str">
        <f>IFERROR(IF($L135="","",INDEX(Ledger!$A$6:$A$205,$L135)),"—")</f>
        <v/>
      </c>
      <c r="C136" s="69" t="str">
        <f>IFERROR(IF($L135="","",INDEX(Ledger!$B$6:$B$205,$L135)),"—")</f>
        <v/>
      </c>
      <c r="D136" s="69" t="str">
        <f>IFERROR(IF($L135="","",INDEX(Ledger!$C$6:$C$205,$L135)),"—")</f>
        <v/>
      </c>
      <c r="E136" s="69" t="str">
        <f>IFERROR(IF($L135="","",INDEX(Ledger!$D$6:$D$205,$L135)),"—")</f>
        <v/>
      </c>
      <c r="F136" s="69" t="str">
        <f>IFERROR(IF($L135="","",INDEX(Ledger!$E$6:$E$205,$L135)),"—")</f>
        <v/>
      </c>
      <c r="G136" s="70" t="str">
        <f>IFERROR(IF($L135="","",INDEX(Ledger!$F$6:$F$205,$L135)),"—")</f>
        <v/>
      </c>
      <c r="H136" s="70" t="str">
        <f>IFERROR(IF($L135="","",INDEX(Ledger!$G$6:$G$205,$L135)),"—")</f>
        <v/>
      </c>
      <c r="I136" s="70" t="str">
        <f>IFERROR(IF($L135="","",INDEX(Ledger!$H$6:$H$205,$L135)),"—")</f>
        <v/>
      </c>
      <c r="J136" s="1"/>
      <c r="K136" s="1"/>
      <c r="L136" s="1" t="str">
        <f>IFERROR(SMALL(IF((Ledger!$D$6:$D$205=$C$4)*IF($C$5="All Years",1,YEAR(Ledger!$A$6:$A$205)=IF($C$5="All Years",0,VALUE($C$5))),ROW(Ledger!$D$6:$D$205)-ROW(Ledger!$D$6)+1),96),"")</f>
        <v/>
      </c>
      <c r="M136" s="1"/>
    </row>
    <row r="137" spans="1:13" ht="20" customHeight="1" x14ac:dyDescent="0.35">
      <c r="A137" s="71" t="str">
        <f>IF($L136="","",96)</f>
        <v/>
      </c>
      <c r="B137" s="72" t="str">
        <f>IFERROR(IF($L136="","",INDEX(Ledger!$A$6:$A$205,$L136)),"—")</f>
        <v/>
      </c>
      <c r="C137" s="73" t="str">
        <f>IFERROR(IF($L136="","",INDEX(Ledger!$B$6:$B$205,$L136)),"—")</f>
        <v/>
      </c>
      <c r="D137" s="73" t="str">
        <f>IFERROR(IF($L136="","",INDEX(Ledger!$C$6:$C$205,$L136)),"—")</f>
        <v/>
      </c>
      <c r="E137" s="73" t="str">
        <f>IFERROR(IF($L136="","",INDEX(Ledger!$D$6:$D$205,$L136)),"—")</f>
        <v/>
      </c>
      <c r="F137" s="73" t="str">
        <f>IFERROR(IF($L136="","",INDEX(Ledger!$E$6:$E$205,$L136)),"—")</f>
        <v/>
      </c>
      <c r="G137" s="74" t="str">
        <f>IFERROR(IF($L136="","",INDEX(Ledger!$F$6:$F$205,$L136)),"—")</f>
        <v/>
      </c>
      <c r="H137" s="74" t="str">
        <f>IFERROR(IF($L136="","",INDEX(Ledger!$G$6:$G$205,$L136)),"—")</f>
        <v/>
      </c>
      <c r="I137" s="74" t="str">
        <f>IFERROR(IF($L136="","",INDEX(Ledger!$H$6:$H$205,$L136)),"—")</f>
        <v/>
      </c>
      <c r="J137" s="1"/>
      <c r="K137" s="1"/>
      <c r="L137" s="1" t="str">
        <f>IFERROR(SMALL(IF((Ledger!$D$6:$D$205=$C$4)*IF($C$5="All Years",1,YEAR(Ledger!$A$6:$A$205)=IF($C$5="All Years",0,VALUE($C$5))),ROW(Ledger!$D$6:$D$205)-ROW(Ledger!$D$6)+1),97),"")</f>
        <v/>
      </c>
      <c r="M137" s="1"/>
    </row>
    <row r="138" spans="1:13" ht="20" customHeight="1" x14ac:dyDescent="0.35">
      <c r="A138" s="67" t="str">
        <f>IF($L137="","",97)</f>
        <v/>
      </c>
      <c r="B138" s="68" t="str">
        <f>IFERROR(IF($L137="","",INDEX(Ledger!$A$6:$A$205,$L137)),"—")</f>
        <v/>
      </c>
      <c r="C138" s="69" t="str">
        <f>IFERROR(IF($L137="","",INDEX(Ledger!$B$6:$B$205,$L137)),"—")</f>
        <v/>
      </c>
      <c r="D138" s="69" t="str">
        <f>IFERROR(IF($L137="","",INDEX(Ledger!$C$6:$C$205,$L137)),"—")</f>
        <v/>
      </c>
      <c r="E138" s="69" t="str">
        <f>IFERROR(IF($L137="","",INDEX(Ledger!$D$6:$D$205,$L137)),"—")</f>
        <v/>
      </c>
      <c r="F138" s="69" t="str">
        <f>IFERROR(IF($L137="","",INDEX(Ledger!$E$6:$E$205,$L137)),"—")</f>
        <v/>
      </c>
      <c r="G138" s="70" t="str">
        <f>IFERROR(IF($L137="","",INDEX(Ledger!$F$6:$F$205,$L137)),"—")</f>
        <v/>
      </c>
      <c r="H138" s="70" t="str">
        <f>IFERROR(IF($L137="","",INDEX(Ledger!$G$6:$G$205,$L137)),"—")</f>
        <v/>
      </c>
      <c r="I138" s="70" t="str">
        <f>IFERROR(IF($L137="","",INDEX(Ledger!$H$6:$H$205,$L137)),"—")</f>
        <v/>
      </c>
      <c r="J138" s="1"/>
      <c r="K138" s="1"/>
      <c r="L138" s="1" t="str">
        <f>IFERROR(SMALL(IF((Ledger!$D$6:$D$205=$C$4)*IF($C$5="All Years",1,YEAR(Ledger!$A$6:$A$205)=IF($C$5="All Years",0,VALUE($C$5))),ROW(Ledger!$D$6:$D$205)-ROW(Ledger!$D$6)+1),98),"")</f>
        <v/>
      </c>
      <c r="M138" s="1"/>
    </row>
    <row r="139" spans="1:13" ht="20" customHeight="1" x14ac:dyDescent="0.35">
      <c r="A139" s="71" t="str">
        <f>IF($L138="","",98)</f>
        <v/>
      </c>
      <c r="B139" s="72" t="str">
        <f>IFERROR(IF($L138="","",INDEX(Ledger!$A$6:$A$205,$L138)),"—")</f>
        <v/>
      </c>
      <c r="C139" s="73" t="str">
        <f>IFERROR(IF($L138="","",INDEX(Ledger!$B$6:$B$205,$L138)),"—")</f>
        <v/>
      </c>
      <c r="D139" s="73" t="str">
        <f>IFERROR(IF($L138="","",INDEX(Ledger!$C$6:$C$205,$L138)),"—")</f>
        <v/>
      </c>
      <c r="E139" s="73" t="str">
        <f>IFERROR(IF($L138="","",INDEX(Ledger!$D$6:$D$205,$L138)),"—")</f>
        <v/>
      </c>
      <c r="F139" s="73" t="str">
        <f>IFERROR(IF($L138="","",INDEX(Ledger!$E$6:$E$205,$L138)),"—")</f>
        <v/>
      </c>
      <c r="G139" s="74" t="str">
        <f>IFERROR(IF($L138="","",INDEX(Ledger!$F$6:$F$205,$L138)),"—")</f>
        <v/>
      </c>
      <c r="H139" s="74" t="str">
        <f>IFERROR(IF($L138="","",INDEX(Ledger!$G$6:$G$205,$L138)),"—")</f>
        <v/>
      </c>
      <c r="I139" s="74" t="str">
        <f>IFERROR(IF($L138="","",INDEX(Ledger!$H$6:$H$205,$L138)),"—")</f>
        <v/>
      </c>
      <c r="J139" s="1"/>
      <c r="K139" s="1"/>
      <c r="L139" s="1" t="str">
        <f>IFERROR(SMALL(IF((Ledger!$D$6:$D$205=$C$4)*IF($C$5="All Years",1,YEAR(Ledger!$A$6:$A$205)=IF($C$5="All Years",0,VALUE($C$5))),ROW(Ledger!$D$6:$D$205)-ROW(Ledger!$D$6)+1),99),"")</f>
        <v/>
      </c>
      <c r="M139" s="1"/>
    </row>
    <row r="140" spans="1:13" ht="20" customHeight="1" x14ac:dyDescent="0.35">
      <c r="A140" s="67" t="str">
        <f>IF($L139="","",99)</f>
        <v/>
      </c>
      <c r="B140" s="68" t="str">
        <f>IFERROR(IF($L139="","",INDEX(Ledger!$A$6:$A$205,$L139)),"—")</f>
        <v/>
      </c>
      <c r="C140" s="69" t="str">
        <f>IFERROR(IF($L139="","",INDEX(Ledger!$B$6:$B$205,$L139)),"—")</f>
        <v/>
      </c>
      <c r="D140" s="69" t="str">
        <f>IFERROR(IF($L139="","",INDEX(Ledger!$C$6:$C$205,$L139)),"—")</f>
        <v/>
      </c>
      <c r="E140" s="69" t="str">
        <f>IFERROR(IF($L139="","",INDEX(Ledger!$D$6:$D$205,$L139)),"—")</f>
        <v/>
      </c>
      <c r="F140" s="69" t="str">
        <f>IFERROR(IF($L139="","",INDEX(Ledger!$E$6:$E$205,$L139)),"—")</f>
        <v/>
      </c>
      <c r="G140" s="70" t="str">
        <f>IFERROR(IF($L139="","",INDEX(Ledger!$F$6:$F$205,$L139)),"—")</f>
        <v/>
      </c>
      <c r="H140" s="70" t="str">
        <f>IFERROR(IF($L139="","",INDEX(Ledger!$G$6:$G$205,$L139)),"—")</f>
        <v/>
      </c>
      <c r="I140" s="70" t="str">
        <f>IFERROR(IF($L139="","",INDEX(Ledger!$H$6:$H$205,$L139)),"—")</f>
        <v/>
      </c>
      <c r="J140" s="1"/>
      <c r="K140" s="1"/>
      <c r="L140" s="1" t="str">
        <f>IFERROR(SMALL(IF((Ledger!$D$6:$D$205=$C$4)*IF($C$5="All Years",1,YEAR(Ledger!$A$6:$A$205)=IF($C$5="All Years",0,VALUE($C$5))),ROW(Ledger!$D$6:$D$205)-ROW(Ledger!$D$6)+1),100),"")</f>
        <v/>
      </c>
      <c r="M140" s="1"/>
    </row>
    <row r="141" spans="1:13" ht="20" customHeight="1" x14ac:dyDescent="0.35">
      <c r="A141" s="71" t="str">
        <f>IF($L140="","",100)</f>
        <v/>
      </c>
      <c r="B141" s="72" t="str">
        <f>IFERROR(IF($L140="","",INDEX(Ledger!$A$6:$A$205,$L140)),"—")</f>
        <v/>
      </c>
      <c r="C141" s="73" t="str">
        <f>IFERROR(IF($L140="","",INDEX(Ledger!$B$6:$B$205,$L140)),"—")</f>
        <v/>
      </c>
      <c r="D141" s="73" t="str">
        <f>IFERROR(IF($L140="","",INDEX(Ledger!$C$6:$C$205,$L140)),"—")</f>
        <v/>
      </c>
      <c r="E141" s="73" t="str">
        <f>IFERROR(IF($L140="","",INDEX(Ledger!$D$6:$D$205,$L140)),"—")</f>
        <v/>
      </c>
      <c r="F141" s="73" t="str">
        <f>IFERROR(IF($L140="","",INDEX(Ledger!$E$6:$E$205,$L140)),"—")</f>
        <v/>
      </c>
      <c r="G141" s="74" t="str">
        <f>IFERROR(IF($L140="","",INDEX(Ledger!$F$6:$F$205,$L140)),"—")</f>
        <v/>
      </c>
      <c r="H141" s="74" t="str">
        <f>IFERROR(IF($L140="","",INDEX(Ledger!$G$6:$G$205,$L140)),"—")</f>
        <v/>
      </c>
      <c r="I141" s="74" t="str">
        <f>IFERROR(IF($L140="","",INDEX(Ledger!$H$6:$H$205,$L140)),"—")</f>
        <v/>
      </c>
      <c r="J141" s="1"/>
      <c r="K141" s="1"/>
      <c r="L141" s="1"/>
      <c r="M141" s="1"/>
    </row>
    <row r="142" spans="1:13" x14ac:dyDescent="0.35">
      <c r="A142" s="1"/>
      <c r="B142" s="1"/>
      <c r="C142" s="1"/>
      <c r="D142" s="1"/>
      <c r="E142" s="1"/>
      <c r="F142" s="1"/>
      <c r="G142" s="1"/>
      <c r="H142" s="1"/>
      <c r="I142" s="1"/>
      <c r="J142" s="1"/>
      <c r="K142" s="1"/>
      <c r="L142" s="1"/>
      <c r="M142" s="1"/>
    </row>
    <row r="143" spans="1:13" x14ac:dyDescent="0.35">
      <c r="A143" s="1"/>
      <c r="B143" s="1"/>
      <c r="C143" s="1"/>
      <c r="D143" s="1"/>
      <c r="E143" s="1"/>
      <c r="F143" s="1"/>
      <c r="G143" s="1"/>
      <c r="H143" s="1"/>
      <c r="I143" s="1"/>
      <c r="J143" s="1"/>
      <c r="K143" s="1"/>
      <c r="L143" s="1"/>
      <c r="M143" s="1"/>
    </row>
    <row r="144" spans="1:13" ht="26" customHeight="1" x14ac:dyDescent="0.35">
      <c r="A144" s="123" t="s">
        <v>246</v>
      </c>
      <c r="B144" s="76"/>
      <c r="C144" s="76"/>
      <c r="D144" s="76"/>
      <c r="E144" s="76"/>
      <c r="F144" s="76"/>
      <c r="G144" s="76"/>
      <c r="H144" s="76"/>
      <c r="I144" s="77"/>
      <c r="J144" s="1"/>
      <c r="K144" s="1"/>
      <c r="L144" s="1"/>
      <c r="M144" s="1"/>
    </row>
    <row r="145" spans="1:13" ht="22" customHeight="1" x14ac:dyDescent="0.35">
      <c r="A145" s="92" t="s">
        <v>247</v>
      </c>
      <c r="B145" s="76"/>
      <c r="C145" s="77"/>
      <c r="D145" s="92" t="s">
        <v>248</v>
      </c>
      <c r="E145" s="77"/>
      <c r="F145" s="92" t="s">
        <v>249</v>
      </c>
      <c r="G145" s="77"/>
      <c r="H145" s="92" t="s">
        <v>250</v>
      </c>
      <c r="I145" s="77"/>
      <c r="J145" s="1"/>
      <c r="K145" s="1"/>
      <c r="L145" s="1"/>
      <c r="M145" s="1"/>
    </row>
    <row r="146" spans="1:13" ht="20" customHeight="1" x14ac:dyDescent="0.35">
      <c r="A146" s="118" t="str">
        <f>IF(Settings!$D$5="","",Settings!$D$5)</f>
        <v>Remitly</v>
      </c>
      <c r="B146" s="76"/>
      <c r="C146" s="77"/>
      <c r="D146" s="112">
        <f>IF(Settings!$D$5="","",SUMIF(Ledger!$C$6:$C$205,Settings!$D$5,Ledger!$F$6:$F$205))</f>
        <v>0</v>
      </c>
      <c r="E146" s="77"/>
      <c r="F146" s="113">
        <f>IF(Settings!$D$5="","",SUMIF(Ledger!$C$6:$C$205,Settings!$D$5,Ledger!$G$6:$G$205))</f>
        <v>0</v>
      </c>
      <c r="G146" s="77"/>
      <c r="H146" s="110">
        <f>IF(Settings!$D$5="","",COUNTIF(Ledger!$C$6:$C$205,Settings!$D$5))</f>
        <v>0</v>
      </c>
      <c r="I146" s="77"/>
      <c r="J146" s="1"/>
      <c r="K146" s="1"/>
      <c r="L146" s="1"/>
      <c r="M146" s="1"/>
    </row>
    <row r="147" spans="1:13" ht="20" customHeight="1" x14ac:dyDescent="0.35">
      <c r="A147" s="114" t="str">
        <f>IF(Settings!$D$6="","",Settings!$D$6)</f>
        <v>Western Union</v>
      </c>
      <c r="B147" s="76"/>
      <c r="C147" s="77"/>
      <c r="D147" s="111">
        <f>IF(Settings!$D$6="","",SUMIF(Ledger!$C$6:$C$205,Settings!$D$6,Ledger!$F$6:$F$205))</f>
        <v>0</v>
      </c>
      <c r="E147" s="77"/>
      <c r="F147" s="116">
        <f>IF(Settings!$D$6="","",SUMIF(Ledger!$C$6:$C$205,Settings!$D$6,Ledger!$G$6:$G$205))</f>
        <v>0</v>
      </c>
      <c r="G147" s="77"/>
      <c r="H147" s="115">
        <f>IF(Settings!$D$6="","",COUNTIF(Ledger!$C$6:$C$205,Settings!$D$6))</f>
        <v>0</v>
      </c>
      <c r="I147" s="77"/>
      <c r="J147" s="1"/>
      <c r="K147" s="1"/>
      <c r="L147" s="1"/>
      <c r="M147" s="1"/>
    </row>
    <row r="148" spans="1:13" ht="20" customHeight="1" x14ac:dyDescent="0.35">
      <c r="A148" s="118" t="str">
        <f>IF(Settings!$D$7="","",Settings!$D$7)</f>
        <v>Wise (TransferWise)</v>
      </c>
      <c r="B148" s="76"/>
      <c r="C148" s="77"/>
      <c r="D148" s="112">
        <f>IF(Settings!$D$7="","",SUMIF(Ledger!$C$6:$C$205,Settings!$D$7,Ledger!$F$6:$F$205))</f>
        <v>0</v>
      </c>
      <c r="E148" s="77"/>
      <c r="F148" s="113">
        <f>IF(Settings!$D$7="","",SUMIF(Ledger!$C$6:$C$205,Settings!$D$7,Ledger!$G$6:$G$205))</f>
        <v>0</v>
      </c>
      <c r="G148" s="77"/>
      <c r="H148" s="110">
        <f>IF(Settings!$D$7="","",COUNTIF(Ledger!$C$6:$C$205,Settings!$D$7))</f>
        <v>0</v>
      </c>
      <c r="I148" s="77"/>
      <c r="J148" s="1"/>
      <c r="K148" s="1"/>
      <c r="L148" s="1"/>
      <c r="M148" s="1"/>
    </row>
    <row r="149" spans="1:13" ht="20" customHeight="1" x14ac:dyDescent="0.35">
      <c r="A149" s="114" t="str">
        <f>IF(Settings!$D$8="","",Settings!$D$8)</f>
        <v>PayPal</v>
      </c>
      <c r="B149" s="76"/>
      <c r="C149" s="77"/>
      <c r="D149" s="111">
        <f>IF(Settings!$D$8="","",SUMIF(Ledger!$C$6:$C$205,Settings!$D$8,Ledger!$F$6:$F$205))</f>
        <v>0</v>
      </c>
      <c r="E149" s="77"/>
      <c r="F149" s="116">
        <f>IF(Settings!$D$8="","",SUMIF(Ledger!$C$6:$C$205,Settings!$D$8,Ledger!$G$6:$G$205))</f>
        <v>0</v>
      </c>
      <c r="G149" s="77"/>
      <c r="H149" s="115">
        <f>IF(Settings!$D$8="","",COUNTIF(Ledger!$C$6:$C$205,Settings!$D$8))</f>
        <v>0</v>
      </c>
      <c r="I149" s="77"/>
      <c r="J149" s="1"/>
      <c r="K149" s="1"/>
      <c r="L149" s="1"/>
      <c r="M149" s="1"/>
    </row>
    <row r="150" spans="1:13" ht="20" customHeight="1" x14ac:dyDescent="0.35">
      <c r="A150" s="118" t="str">
        <f>IF(Settings!$D$9="","",Settings!$D$9)</f>
        <v>Zelle</v>
      </c>
      <c r="B150" s="76"/>
      <c r="C150" s="77"/>
      <c r="D150" s="112">
        <f>IF(Settings!$D$9="","",SUMIF(Ledger!$C$6:$C$205,Settings!$D$9,Ledger!$F$6:$F$205))</f>
        <v>0</v>
      </c>
      <c r="E150" s="77"/>
      <c r="F150" s="113">
        <f>IF(Settings!$D$9="","",SUMIF(Ledger!$C$6:$C$205,Settings!$D$9,Ledger!$G$6:$G$205))</f>
        <v>0</v>
      </c>
      <c r="G150" s="77"/>
      <c r="H150" s="110">
        <f>IF(Settings!$D$9="","",COUNTIF(Ledger!$C$6:$C$205,Settings!$D$9))</f>
        <v>0</v>
      </c>
      <c r="I150" s="77"/>
      <c r="J150" s="1"/>
      <c r="K150" s="1"/>
      <c r="L150" s="1"/>
      <c r="M150" s="1"/>
    </row>
    <row r="151" spans="1:13" ht="20" customHeight="1" x14ac:dyDescent="0.35">
      <c r="A151" s="114" t="str">
        <f>IF(Settings!$D$10="","",Settings!$D$10)</f>
        <v>Bank Transfer</v>
      </c>
      <c r="B151" s="76"/>
      <c r="C151" s="77"/>
      <c r="D151" s="111">
        <f>IF(Settings!$D$10="","",SUMIF(Ledger!$C$6:$C$205,Settings!$D$10,Ledger!$F$6:$F$205))</f>
        <v>0</v>
      </c>
      <c r="E151" s="77"/>
      <c r="F151" s="116">
        <f>IF(Settings!$D$10="","",SUMIF(Ledger!$C$6:$C$205,Settings!$D$10,Ledger!$G$6:$G$205))</f>
        <v>0</v>
      </c>
      <c r="G151" s="77"/>
      <c r="H151" s="115">
        <f>IF(Settings!$D$10="","",COUNTIF(Ledger!$C$6:$C$205,Settings!$D$10))</f>
        <v>0</v>
      </c>
      <c r="I151" s="77"/>
      <c r="J151" s="1"/>
      <c r="K151" s="1"/>
      <c r="L151" s="1"/>
      <c r="M151" s="1"/>
    </row>
    <row r="152" spans="1:13" ht="20" customHeight="1" x14ac:dyDescent="0.35">
      <c r="A152" s="118" t="str">
        <f>IF(Settings!$D$11="","",Settings!$D$11)</f>
        <v>Cash</v>
      </c>
      <c r="B152" s="76"/>
      <c r="C152" s="77"/>
      <c r="D152" s="112">
        <f>IF(Settings!$D$11="","",SUMIF(Ledger!$C$6:$C$205,Settings!$D$11,Ledger!$F$6:$F$205))</f>
        <v>0</v>
      </c>
      <c r="E152" s="77"/>
      <c r="F152" s="113">
        <f>IF(Settings!$D$11="","",SUMIF(Ledger!$C$6:$C$205,Settings!$D$11,Ledger!$G$6:$G$205))</f>
        <v>0</v>
      </c>
      <c r="G152" s="77"/>
      <c r="H152" s="110">
        <f>IF(Settings!$D$11="","",COUNTIF(Ledger!$C$6:$C$205,Settings!$D$11))</f>
        <v>0</v>
      </c>
      <c r="I152" s="77"/>
      <c r="J152" s="1"/>
      <c r="K152" s="1"/>
      <c r="L152" s="1"/>
      <c r="M152" s="1"/>
    </row>
    <row r="153" spans="1:13" ht="20" customHeight="1" x14ac:dyDescent="0.35">
      <c r="A153" s="114" t="str">
        <f>IF(Settings!$D$12="","",Settings!$D$12)</f>
        <v>Check</v>
      </c>
      <c r="B153" s="76"/>
      <c r="C153" s="77"/>
      <c r="D153" s="111">
        <f>IF(Settings!$D$12="","",SUMIF(Ledger!$C$6:$C$205,Settings!$D$12,Ledger!$F$6:$F$205))</f>
        <v>0</v>
      </c>
      <c r="E153" s="77"/>
      <c r="F153" s="116">
        <f>IF(Settings!$D$12="","",SUMIF(Ledger!$C$6:$C$205,Settings!$D$12,Ledger!$G$6:$G$205))</f>
        <v>0</v>
      </c>
      <c r="G153" s="77"/>
      <c r="H153" s="115">
        <f>IF(Settings!$D$12="","",COUNTIF(Ledger!$C$6:$C$205,Settings!$D$12))</f>
        <v>0</v>
      </c>
      <c r="I153" s="77"/>
      <c r="J153" s="1"/>
      <c r="K153" s="1"/>
      <c r="L153" s="1"/>
      <c r="M153" s="1"/>
    </row>
    <row r="154" spans="1:13" ht="20" customHeight="1" x14ac:dyDescent="0.35">
      <c r="A154" s="118" t="str">
        <f>IF(Settings!$D$13="","",Settings!$D$13)</f>
        <v>Venmo</v>
      </c>
      <c r="B154" s="76"/>
      <c r="C154" s="77"/>
      <c r="D154" s="112">
        <f>IF(Settings!$D$13="","",SUMIF(Ledger!$C$6:$C$205,Settings!$D$13,Ledger!$F$6:$F$205))</f>
        <v>0</v>
      </c>
      <c r="E154" s="77"/>
      <c r="F154" s="113">
        <f>IF(Settings!$D$13="","",SUMIF(Ledger!$C$6:$C$205,Settings!$D$13,Ledger!$G$6:$G$205))</f>
        <v>0</v>
      </c>
      <c r="G154" s="77"/>
      <c r="H154" s="110">
        <f>IF(Settings!$D$13="","",COUNTIF(Ledger!$C$6:$C$205,Settings!$D$13))</f>
        <v>0</v>
      </c>
      <c r="I154" s="77"/>
      <c r="J154" s="1"/>
      <c r="K154" s="1"/>
      <c r="L154" s="1"/>
      <c r="M154" s="1"/>
    </row>
    <row r="155" spans="1:13" ht="20" customHeight="1" x14ac:dyDescent="0.35">
      <c r="A155" s="114" t="str">
        <f>IF(Settings!$D$14="","",Settings!$D$14)</f>
        <v>CashApp</v>
      </c>
      <c r="B155" s="76"/>
      <c r="C155" s="77"/>
      <c r="D155" s="111">
        <f>IF(Settings!$D$14="","",SUMIF(Ledger!$C$6:$C$205,Settings!$D$14,Ledger!$F$6:$F$205))</f>
        <v>0</v>
      </c>
      <c r="E155" s="77"/>
      <c r="F155" s="116">
        <f>IF(Settings!$D$14="","",SUMIF(Ledger!$C$6:$C$205,Settings!$D$14,Ledger!$G$6:$G$205))</f>
        <v>0</v>
      </c>
      <c r="G155" s="77"/>
      <c r="H155" s="115">
        <f>IF(Settings!$D$14="","",COUNTIF(Ledger!$C$6:$C$205,Settings!$D$14))</f>
        <v>0</v>
      </c>
      <c r="I155" s="77"/>
      <c r="J155" s="1"/>
      <c r="K155" s="1"/>
      <c r="L155" s="1"/>
      <c r="M155" s="1"/>
    </row>
    <row r="156" spans="1:13" ht="20" customHeight="1" x14ac:dyDescent="0.35">
      <c r="A156" s="118" t="str">
        <f>IF(Settings!$D$15="","",Settings!$D$15)</f>
        <v>MoneyGram</v>
      </c>
      <c r="B156" s="76"/>
      <c r="C156" s="77"/>
      <c r="D156" s="112">
        <f>IF(Settings!$D$15="","",SUMIF(Ledger!$C$6:$C$205,Settings!$D$15,Ledger!$F$6:$F$205))</f>
        <v>0</v>
      </c>
      <c r="E156" s="77"/>
      <c r="F156" s="113">
        <f>IF(Settings!$D$15="","",SUMIF(Ledger!$C$6:$C$205,Settings!$D$15,Ledger!$G$6:$G$205))</f>
        <v>0</v>
      </c>
      <c r="G156" s="77"/>
      <c r="H156" s="110">
        <f>IF(Settings!$D$15="","",COUNTIF(Ledger!$C$6:$C$205,Settings!$D$15))</f>
        <v>0</v>
      </c>
      <c r="I156" s="77"/>
      <c r="J156" s="1"/>
      <c r="K156" s="1"/>
      <c r="L156" s="1"/>
      <c r="M156" s="1"/>
    </row>
    <row r="157" spans="1:13" ht="20" customHeight="1" x14ac:dyDescent="0.35">
      <c r="A157" s="114" t="str">
        <f>IF(Settings!$D$16="","",Settings!$D$16)</f>
        <v>Other</v>
      </c>
      <c r="B157" s="76"/>
      <c r="C157" s="77"/>
      <c r="D157" s="111">
        <f>IF(Settings!$D$16="","",SUMIF(Ledger!$C$6:$C$205,Settings!$D$16,Ledger!$F$6:$F$205))</f>
        <v>0</v>
      </c>
      <c r="E157" s="77"/>
      <c r="F157" s="116">
        <f>IF(Settings!$D$16="","",SUMIF(Ledger!$C$6:$C$205,Settings!$D$16,Ledger!$G$6:$G$205))</f>
        <v>0</v>
      </c>
      <c r="G157" s="77"/>
      <c r="H157" s="115">
        <f>IF(Settings!$D$16="","",COUNTIF(Ledger!$C$6:$C$205,Settings!$D$16))</f>
        <v>0</v>
      </c>
      <c r="I157" s="77"/>
      <c r="J157" s="1"/>
      <c r="K157" s="1"/>
      <c r="L157" s="1"/>
      <c r="M157" s="1"/>
    </row>
    <row r="158" spans="1:13" ht="20" customHeight="1" x14ac:dyDescent="0.35">
      <c r="A158" s="118" t="str">
        <f>IF(Settings!$D$17="","",Settings!$D$17)</f>
        <v/>
      </c>
      <c r="B158" s="76"/>
      <c r="C158" s="77"/>
      <c r="D158" s="112" t="str">
        <f>IF(Settings!$D$17="","",SUMIF(Ledger!$C$6:$C$205,Settings!$D$17,Ledger!$F$6:$F$205))</f>
        <v/>
      </c>
      <c r="E158" s="77"/>
      <c r="F158" s="113" t="str">
        <f>IF(Settings!$D$17="","",SUMIF(Ledger!$C$6:$C$205,Settings!$D$17,Ledger!$G$6:$G$205))</f>
        <v/>
      </c>
      <c r="G158" s="77"/>
      <c r="H158" s="110" t="str">
        <f>IF(Settings!$D$17="","",COUNTIF(Ledger!$C$6:$C$205,Settings!$D$17))</f>
        <v/>
      </c>
      <c r="I158" s="77"/>
      <c r="J158" s="1"/>
      <c r="K158" s="1"/>
      <c r="L158" s="1"/>
      <c r="M158" s="1"/>
    </row>
    <row r="159" spans="1:13" ht="20" customHeight="1" x14ac:dyDescent="0.35">
      <c r="A159" s="114" t="str">
        <f>IF(Settings!$D$18="","",Settings!$D$18)</f>
        <v/>
      </c>
      <c r="B159" s="76"/>
      <c r="C159" s="77"/>
      <c r="D159" s="111" t="str">
        <f>IF(Settings!$D$18="","",SUMIF(Ledger!$C$6:$C$205,Settings!$D$18,Ledger!$F$6:$F$205))</f>
        <v/>
      </c>
      <c r="E159" s="77"/>
      <c r="F159" s="116" t="str">
        <f>IF(Settings!$D$18="","",SUMIF(Ledger!$C$6:$C$205,Settings!$D$18,Ledger!$G$6:$G$205))</f>
        <v/>
      </c>
      <c r="G159" s="77"/>
      <c r="H159" s="115" t="str">
        <f>IF(Settings!$D$18="","",COUNTIF(Ledger!$C$6:$C$205,Settings!$D$18))</f>
        <v/>
      </c>
      <c r="I159" s="77"/>
      <c r="J159" s="1"/>
      <c r="K159" s="1"/>
      <c r="L159" s="1"/>
      <c r="M159" s="1"/>
    </row>
    <row r="160" spans="1:13" ht="20" customHeight="1" x14ac:dyDescent="0.35">
      <c r="A160" s="118" t="str">
        <f>IF(Settings!$D$19="","",Settings!$D$19)</f>
        <v/>
      </c>
      <c r="B160" s="76"/>
      <c r="C160" s="77"/>
      <c r="D160" s="112" t="str">
        <f>IF(Settings!$D$19="","",SUMIF(Ledger!$C$6:$C$205,Settings!$D$19,Ledger!$F$6:$F$205))</f>
        <v/>
      </c>
      <c r="E160" s="77"/>
      <c r="F160" s="113" t="str">
        <f>IF(Settings!$D$19="","",SUMIF(Ledger!$C$6:$C$205,Settings!$D$19,Ledger!$G$6:$G$205))</f>
        <v/>
      </c>
      <c r="G160" s="77"/>
      <c r="H160" s="110" t="str">
        <f>IF(Settings!$D$19="","",COUNTIF(Ledger!$C$6:$C$205,Settings!$D$19))</f>
        <v/>
      </c>
      <c r="I160" s="77"/>
      <c r="J160" s="1"/>
      <c r="K160" s="1"/>
      <c r="L160" s="1"/>
      <c r="M160" s="1"/>
    </row>
    <row r="161" spans="1:13" ht="20" customHeight="1" x14ac:dyDescent="0.35">
      <c r="A161" s="114" t="str">
        <f>IF(Settings!$D$20="","",Settings!$D$20)</f>
        <v/>
      </c>
      <c r="B161" s="76"/>
      <c r="C161" s="77"/>
      <c r="D161" s="111" t="str">
        <f>IF(Settings!$D$20="","",SUMIF(Ledger!$C$6:$C$205,Settings!$D$20,Ledger!$F$6:$F$205))</f>
        <v/>
      </c>
      <c r="E161" s="77"/>
      <c r="F161" s="116" t="str">
        <f>IF(Settings!$D$20="","",SUMIF(Ledger!$C$6:$C$205,Settings!$D$20,Ledger!$G$6:$G$205))</f>
        <v/>
      </c>
      <c r="G161" s="77"/>
      <c r="H161" s="115" t="str">
        <f>IF(Settings!$D$20="","",COUNTIF(Ledger!$C$6:$C$205,Settings!$D$20))</f>
        <v/>
      </c>
      <c r="I161" s="77"/>
      <c r="J161" s="1"/>
      <c r="K161" s="1"/>
      <c r="L161" s="1"/>
      <c r="M161" s="1"/>
    </row>
    <row r="162" spans="1:13" ht="20" customHeight="1" x14ac:dyDescent="0.35">
      <c r="A162" s="118" t="str">
        <f>IF(Settings!$D$21="","",Settings!$D$21)</f>
        <v/>
      </c>
      <c r="B162" s="76"/>
      <c r="C162" s="77"/>
      <c r="D162" s="112" t="str">
        <f>IF(Settings!$D$21="","",SUMIF(Ledger!$C$6:$C$205,Settings!$D$21,Ledger!$F$6:$F$205))</f>
        <v/>
      </c>
      <c r="E162" s="77"/>
      <c r="F162" s="113" t="str">
        <f>IF(Settings!$D$21="","",SUMIF(Ledger!$C$6:$C$205,Settings!$D$21,Ledger!$G$6:$G$205))</f>
        <v/>
      </c>
      <c r="G162" s="77"/>
      <c r="H162" s="110" t="str">
        <f>IF(Settings!$D$21="","",COUNTIF(Ledger!$C$6:$C$205,Settings!$D$21))</f>
        <v/>
      </c>
      <c r="I162" s="77"/>
      <c r="J162" s="1"/>
      <c r="K162" s="1"/>
      <c r="L162" s="1"/>
      <c r="M162" s="1"/>
    </row>
    <row r="163" spans="1:13" ht="20" customHeight="1" x14ac:dyDescent="0.35">
      <c r="A163" s="114" t="str">
        <f>IF(Settings!$D$22="","",Settings!$D$22)</f>
        <v/>
      </c>
      <c r="B163" s="76"/>
      <c r="C163" s="77"/>
      <c r="D163" s="111" t="str">
        <f>IF(Settings!$D$22="","",SUMIF(Ledger!$C$6:$C$205,Settings!$D$22,Ledger!$F$6:$F$205))</f>
        <v/>
      </c>
      <c r="E163" s="77"/>
      <c r="F163" s="116" t="str">
        <f>IF(Settings!$D$22="","",SUMIF(Ledger!$C$6:$C$205,Settings!$D$22,Ledger!$G$6:$G$205))</f>
        <v/>
      </c>
      <c r="G163" s="77"/>
      <c r="H163" s="115" t="str">
        <f>IF(Settings!$D$22="","",COUNTIF(Ledger!$C$6:$C$205,Settings!$D$22))</f>
        <v/>
      </c>
      <c r="I163" s="77"/>
      <c r="J163" s="1"/>
      <c r="K163" s="1"/>
      <c r="L163" s="1"/>
      <c r="M163" s="1"/>
    </row>
    <row r="164" spans="1:13" ht="20" customHeight="1" x14ac:dyDescent="0.35">
      <c r="A164" s="118" t="str">
        <f>IF(Settings!$D$23="","",Settings!$D$23)</f>
        <v/>
      </c>
      <c r="B164" s="76"/>
      <c r="C164" s="77"/>
      <c r="D164" s="112" t="str">
        <f>IF(Settings!$D$23="","",SUMIF(Ledger!$C$6:$C$205,Settings!$D$23,Ledger!$F$6:$F$205))</f>
        <v/>
      </c>
      <c r="E164" s="77"/>
      <c r="F164" s="113" t="str">
        <f>IF(Settings!$D$23="","",SUMIF(Ledger!$C$6:$C$205,Settings!$D$23,Ledger!$G$6:$G$205))</f>
        <v/>
      </c>
      <c r="G164" s="77"/>
      <c r="H164" s="110" t="str">
        <f>IF(Settings!$D$23="","",COUNTIF(Ledger!$C$6:$C$205,Settings!$D$23))</f>
        <v/>
      </c>
      <c r="I164" s="77"/>
      <c r="J164" s="1"/>
      <c r="K164" s="1"/>
      <c r="L164" s="1"/>
      <c r="M164" s="1"/>
    </row>
    <row r="165" spans="1:13" ht="20" customHeight="1" x14ac:dyDescent="0.35">
      <c r="A165" s="114" t="str">
        <f>IF(Settings!$D$24="","",Settings!$D$24)</f>
        <v/>
      </c>
      <c r="B165" s="76"/>
      <c r="C165" s="77"/>
      <c r="D165" s="111" t="str">
        <f>IF(Settings!$D$24="","",SUMIF(Ledger!$C$6:$C$205,Settings!$D$24,Ledger!$F$6:$F$205))</f>
        <v/>
      </c>
      <c r="E165" s="77"/>
      <c r="F165" s="116" t="str">
        <f>IF(Settings!$D$24="","",SUMIF(Ledger!$C$6:$C$205,Settings!$D$24,Ledger!$G$6:$G$205))</f>
        <v/>
      </c>
      <c r="G165" s="77"/>
      <c r="H165" s="115" t="str">
        <f>IF(Settings!$D$24="","",COUNTIF(Ledger!$C$6:$C$205,Settings!$D$24))</f>
        <v/>
      </c>
      <c r="I165" s="77"/>
      <c r="J165" s="1"/>
      <c r="K165" s="1"/>
      <c r="L165" s="1"/>
      <c r="M165" s="1"/>
    </row>
    <row r="166" spans="1:13" ht="20" customHeight="1" x14ac:dyDescent="0.35">
      <c r="A166" s="118" t="str">
        <f>IF(Settings!$D$25="","",Settings!$D$25)</f>
        <v/>
      </c>
      <c r="B166" s="76"/>
      <c r="C166" s="77"/>
      <c r="D166" s="112" t="str">
        <f>IF(Settings!$D$25="","",SUMIF(Ledger!$C$6:$C$205,Settings!$D$25,Ledger!$F$6:$F$205))</f>
        <v/>
      </c>
      <c r="E166" s="77"/>
      <c r="F166" s="113" t="str">
        <f>IF(Settings!$D$25="","",SUMIF(Ledger!$C$6:$C$205,Settings!$D$25,Ledger!$G$6:$G$205))</f>
        <v/>
      </c>
      <c r="G166" s="77"/>
      <c r="H166" s="110" t="str">
        <f>IF(Settings!$D$25="","",COUNTIF(Ledger!$C$6:$C$205,Settings!$D$25))</f>
        <v/>
      </c>
      <c r="I166" s="77"/>
      <c r="J166" s="1"/>
      <c r="K166" s="1"/>
      <c r="L166" s="1"/>
      <c r="M166" s="1"/>
    </row>
    <row r="167" spans="1:13" ht="20" customHeight="1" x14ac:dyDescent="0.35">
      <c r="A167" s="114" t="str">
        <f>IF(Settings!$D$26="","",Settings!$D$26)</f>
        <v/>
      </c>
      <c r="B167" s="76"/>
      <c r="C167" s="77"/>
      <c r="D167" s="111" t="str">
        <f>IF(Settings!$D$26="","",SUMIF(Ledger!$C$6:$C$205,Settings!$D$26,Ledger!$F$6:$F$205))</f>
        <v/>
      </c>
      <c r="E167" s="77"/>
      <c r="F167" s="116" t="str">
        <f>IF(Settings!$D$26="","",SUMIF(Ledger!$C$6:$C$205,Settings!$D$26,Ledger!$G$6:$G$205))</f>
        <v/>
      </c>
      <c r="G167" s="77"/>
      <c r="H167" s="115" t="str">
        <f>IF(Settings!$D$26="","",COUNTIF(Ledger!$C$6:$C$205,Settings!$D$26))</f>
        <v/>
      </c>
      <c r="I167" s="77"/>
      <c r="J167" s="1"/>
      <c r="K167" s="1"/>
      <c r="L167" s="1"/>
      <c r="M167" s="1"/>
    </row>
    <row r="168" spans="1:13" ht="20" customHeight="1" x14ac:dyDescent="0.35">
      <c r="A168" s="118" t="str">
        <f>IF(Settings!$D$27="","",Settings!$D$27)</f>
        <v/>
      </c>
      <c r="B168" s="76"/>
      <c r="C168" s="77"/>
      <c r="D168" s="112" t="str">
        <f>IF(Settings!$D$27="","",SUMIF(Ledger!$C$6:$C$205,Settings!$D$27,Ledger!$F$6:$F$205))</f>
        <v/>
      </c>
      <c r="E168" s="77"/>
      <c r="F168" s="113" t="str">
        <f>IF(Settings!$D$27="","",SUMIF(Ledger!$C$6:$C$205,Settings!$D$27,Ledger!$G$6:$G$205))</f>
        <v/>
      </c>
      <c r="G168" s="77"/>
      <c r="H168" s="110" t="str">
        <f>IF(Settings!$D$27="","",COUNTIF(Ledger!$C$6:$C$205,Settings!$D$27))</f>
        <v/>
      </c>
      <c r="I168" s="77"/>
      <c r="J168" s="1"/>
      <c r="K168" s="1"/>
      <c r="L168" s="1"/>
      <c r="M168" s="1"/>
    </row>
    <row r="169" spans="1:13" ht="20" customHeight="1" x14ac:dyDescent="0.35">
      <c r="A169" s="114" t="str">
        <f>IF(Settings!$D$28="","",Settings!$D$28)</f>
        <v/>
      </c>
      <c r="B169" s="76"/>
      <c r="C169" s="77"/>
      <c r="D169" s="111" t="str">
        <f>IF(Settings!$D$28="","",SUMIF(Ledger!$C$6:$C$205,Settings!$D$28,Ledger!$F$6:$F$205))</f>
        <v/>
      </c>
      <c r="E169" s="77"/>
      <c r="F169" s="116" t="str">
        <f>IF(Settings!$D$28="","",SUMIF(Ledger!$C$6:$C$205,Settings!$D$28,Ledger!$G$6:$G$205))</f>
        <v/>
      </c>
      <c r="G169" s="77"/>
      <c r="H169" s="115" t="str">
        <f>IF(Settings!$D$28="","",COUNTIF(Ledger!$C$6:$C$205,Settings!$D$28))</f>
        <v/>
      </c>
      <c r="I169" s="77"/>
      <c r="J169" s="1"/>
      <c r="K169" s="1"/>
      <c r="L169" s="1"/>
      <c r="M169" s="1"/>
    </row>
    <row r="170" spans="1:13" ht="20" customHeight="1" x14ac:dyDescent="0.35">
      <c r="A170" s="118" t="str">
        <f>IF(Settings!$D$29="","",Settings!$D$29)</f>
        <v/>
      </c>
      <c r="B170" s="76"/>
      <c r="C170" s="77"/>
      <c r="D170" s="112" t="str">
        <f>IF(Settings!$D$29="","",SUMIF(Ledger!$C$6:$C$205,Settings!$D$29,Ledger!$F$6:$F$205))</f>
        <v/>
      </c>
      <c r="E170" s="77"/>
      <c r="F170" s="113" t="str">
        <f>IF(Settings!$D$29="","",SUMIF(Ledger!$C$6:$C$205,Settings!$D$29,Ledger!$G$6:$G$205))</f>
        <v/>
      </c>
      <c r="G170" s="77"/>
      <c r="H170" s="110" t="str">
        <f>IF(Settings!$D$29="","",COUNTIF(Ledger!$C$6:$C$205,Settings!$D$29))</f>
        <v/>
      </c>
      <c r="I170" s="77"/>
      <c r="J170" s="1"/>
      <c r="K170" s="1"/>
      <c r="L170" s="1"/>
      <c r="M170" s="1"/>
    </row>
    <row r="171" spans="1:13" ht="20" customHeight="1" x14ac:dyDescent="0.35">
      <c r="A171" s="114" t="str">
        <f>IF(Settings!$D$30="","",Settings!$D$30)</f>
        <v/>
      </c>
      <c r="B171" s="76"/>
      <c r="C171" s="77"/>
      <c r="D171" s="111" t="str">
        <f>IF(Settings!$D$30="","",SUMIF(Ledger!$C$6:$C$205,Settings!$D$30,Ledger!$F$6:$F$205))</f>
        <v/>
      </c>
      <c r="E171" s="77"/>
      <c r="F171" s="116" t="str">
        <f>IF(Settings!$D$30="","",SUMIF(Ledger!$C$6:$C$205,Settings!$D$30,Ledger!$G$6:$G$205))</f>
        <v/>
      </c>
      <c r="G171" s="77"/>
      <c r="H171" s="115" t="str">
        <f>IF(Settings!$D$30="","",COUNTIF(Ledger!$C$6:$C$205,Settings!$D$30))</f>
        <v/>
      </c>
      <c r="I171" s="77"/>
      <c r="J171" s="1"/>
      <c r="K171" s="1"/>
      <c r="L171" s="1"/>
      <c r="M171" s="1"/>
    </row>
    <row r="172" spans="1:13" ht="20" customHeight="1" x14ac:dyDescent="0.35">
      <c r="A172" s="118" t="str">
        <f>IF(Settings!$D$31="","",Settings!$D$31)</f>
        <v/>
      </c>
      <c r="B172" s="76"/>
      <c r="C172" s="77"/>
      <c r="D172" s="112" t="str">
        <f>IF(Settings!$D$31="","",SUMIF(Ledger!$C$6:$C$205,Settings!$D$31,Ledger!$F$6:$F$205))</f>
        <v/>
      </c>
      <c r="E172" s="77"/>
      <c r="F172" s="113" t="str">
        <f>IF(Settings!$D$31="","",SUMIF(Ledger!$C$6:$C$205,Settings!$D$31,Ledger!$G$6:$G$205))</f>
        <v/>
      </c>
      <c r="G172" s="77"/>
      <c r="H172" s="110" t="str">
        <f>IF(Settings!$D$31="","",COUNTIF(Ledger!$C$6:$C$205,Settings!$D$31))</f>
        <v/>
      </c>
      <c r="I172" s="77"/>
      <c r="J172" s="1"/>
      <c r="K172" s="1"/>
      <c r="L172" s="1"/>
      <c r="M172" s="1"/>
    </row>
    <row r="173" spans="1:13" ht="20" customHeight="1" x14ac:dyDescent="0.35">
      <c r="A173" s="114" t="str">
        <f>IF(Settings!$D$32="","",Settings!$D$32)</f>
        <v/>
      </c>
      <c r="B173" s="76"/>
      <c r="C173" s="77"/>
      <c r="D173" s="111" t="str">
        <f>IF(Settings!$D$32="","",SUMIF(Ledger!$C$6:$C$205,Settings!$D$32,Ledger!$F$6:$F$205))</f>
        <v/>
      </c>
      <c r="E173" s="77"/>
      <c r="F173" s="116" t="str">
        <f>IF(Settings!$D$32="","",SUMIF(Ledger!$C$6:$C$205,Settings!$D$32,Ledger!$G$6:$G$205))</f>
        <v/>
      </c>
      <c r="G173" s="77"/>
      <c r="H173" s="115" t="str">
        <f>IF(Settings!$D$32="","",COUNTIF(Ledger!$C$6:$C$205,Settings!$D$32))</f>
        <v/>
      </c>
      <c r="I173" s="77"/>
      <c r="J173" s="1"/>
      <c r="K173" s="1"/>
      <c r="L173" s="1"/>
      <c r="M173" s="1"/>
    </row>
    <row r="174" spans="1:13" ht="20" customHeight="1" x14ac:dyDescent="0.35">
      <c r="A174" s="118" t="str">
        <f>IF(Settings!$D$33="","",Settings!$D$33)</f>
        <v/>
      </c>
      <c r="B174" s="76"/>
      <c r="C174" s="77"/>
      <c r="D174" s="112" t="str">
        <f>IF(Settings!$D$33="","",SUMIF(Ledger!$C$6:$C$205,Settings!$D$33,Ledger!$F$6:$F$205))</f>
        <v/>
      </c>
      <c r="E174" s="77"/>
      <c r="F174" s="113" t="str">
        <f>IF(Settings!$D$33="","",SUMIF(Ledger!$C$6:$C$205,Settings!$D$33,Ledger!$G$6:$G$205))</f>
        <v/>
      </c>
      <c r="G174" s="77"/>
      <c r="H174" s="110" t="str">
        <f>IF(Settings!$D$33="","",COUNTIF(Ledger!$C$6:$C$205,Settings!$D$33))</f>
        <v/>
      </c>
      <c r="I174" s="77"/>
      <c r="J174" s="1"/>
      <c r="K174" s="1"/>
      <c r="L174" s="1"/>
      <c r="M174" s="1"/>
    </row>
    <row r="175" spans="1:13" ht="20" customHeight="1" x14ac:dyDescent="0.35">
      <c r="A175" s="114" t="str">
        <f>IF(Settings!$D$34="","",Settings!$D$34)</f>
        <v/>
      </c>
      <c r="B175" s="76"/>
      <c r="C175" s="77"/>
      <c r="D175" s="111" t="str">
        <f>IF(Settings!$D$34="","",SUMIF(Ledger!$C$6:$C$205,Settings!$D$34,Ledger!$F$6:$F$205))</f>
        <v/>
      </c>
      <c r="E175" s="77"/>
      <c r="F175" s="116" t="str">
        <f>IF(Settings!$D$34="","",SUMIF(Ledger!$C$6:$C$205,Settings!$D$34,Ledger!$G$6:$G$205))</f>
        <v/>
      </c>
      <c r="G175" s="77"/>
      <c r="H175" s="115" t="str">
        <f>IF(Settings!$D$34="","",COUNTIF(Ledger!$C$6:$C$205,Settings!$D$34))</f>
        <v/>
      </c>
      <c r="I175" s="77"/>
      <c r="J175" s="1"/>
      <c r="K175" s="1"/>
      <c r="L175" s="1"/>
      <c r="M175" s="1"/>
    </row>
  </sheetData>
  <mergeCells count="197">
    <mergeCell ref="H175:I175"/>
    <mergeCell ref="F22:I22"/>
    <mergeCell ref="A30:E30"/>
    <mergeCell ref="F31:I31"/>
    <mergeCell ref="A164:C164"/>
    <mergeCell ref="A15:E15"/>
    <mergeCell ref="A145:C145"/>
    <mergeCell ref="D159:E159"/>
    <mergeCell ref="A154:C154"/>
    <mergeCell ref="H167:I167"/>
    <mergeCell ref="F169:G169"/>
    <mergeCell ref="H169:I169"/>
    <mergeCell ref="D145:E145"/>
    <mergeCell ref="A144:I144"/>
    <mergeCell ref="F145:G145"/>
    <mergeCell ref="D154:E154"/>
    <mergeCell ref="F159:G159"/>
    <mergeCell ref="A27:E27"/>
    <mergeCell ref="H153:I153"/>
    <mergeCell ref="D147:E147"/>
    <mergeCell ref="A33:E33"/>
    <mergeCell ref="F24:I24"/>
    <mergeCell ref="F21:I21"/>
    <mergeCell ref="A166:C166"/>
    <mergeCell ref="A4:B4"/>
    <mergeCell ref="F18:I18"/>
    <mergeCell ref="A169:C169"/>
    <mergeCell ref="D157:E157"/>
    <mergeCell ref="A20:E20"/>
    <mergeCell ref="F8:I8"/>
    <mergeCell ref="F151:G151"/>
    <mergeCell ref="A28:E28"/>
    <mergeCell ref="F166:G166"/>
    <mergeCell ref="H151:I151"/>
    <mergeCell ref="H160:I160"/>
    <mergeCell ref="A153:C153"/>
    <mergeCell ref="A162:C162"/>
    <mergeCell ref="A6:I6"/>
    <mergeCell ref="A13:E13"/>
    <mergeCell ref="H150:I150"/>
    <mergeCell ref="F14:I14"/>
    <mergeCell ref="A7:E7"/>
    <mergeCell ref="F11:I11"/>
    <mergeCell ref="F12:I12"/>
    <mergeCell ref="A8:E8"/>
    <mergeCell ref="A17:E17"/>
    <mergeCell ref="F32:I32"/>
    <mergeCell ref="A35:E35"/>
    <mergeCell ref="H174:I174"/>
    <mergeCell ref="A5:B5"/>
    <mergeCell ref="A167:C167"/>
    <mergeCell ref="D146:E146"/>
    <mergeCell ref="F155:G155"/>
    <mergeCell ref="F149:G149"/>
    <mergeCell ref="H155:I155"/>
    <mergeCell ref="A22:E22"/>
    <mergeCell ref="H149:I149"/>
    <mergeCell ref="H158:I158"/>
    <mergeCell ref="F36:I36"/>
    <mergeCell ref="F26:I26"/>
    <mergeCell ref="F35:I35"/>
    <mergeCell ref="A10:E10"/>
    <mergeCell ref="D173:E173"/>
    <mergeCell ref="A168:C168"/>
    <mergeCell ref="A19:E19"/>
    <mergeCell ref="F157:G157"/>
    <mergeCell ref="A9:E9"/>
    <mergeCell ref="H163:I163"/>
    <mergeCell ref="F10:I10"/>
    <mergeCell ref="A18:E18"/>
    <mergeCell ref="D162:E162"/>
    <mergeCell ref="A152:C152"/>
    <mergeCell ref="D156:E156"/>
    <mergeCell ref="D171:E171"/>
    <mergeCell ref="F156:G156"/>
    <mergeCell ref="F7:I7"/>
    <mergeCell ref="F165:G165"/>
    <mergeCell ref="A1:I1"/>
    <mergeCell ref="A146:C146"/>
    <mergeCell ref="D169:E169"/>
    <mergeCell ref="H145:I145"/>
    <mergeCell ref="A31:E31"/>
    <mergeCell ref="A172:C172"/>
    <mergeCell ref="F28:I28"/>
    <mergeCell ref="F4:G4"/>
    <mergeCell ref="D153:E153"/>
    <mergeCell ref="F147:G147"/>
    <mergeCell ref="A24:E24"/>
    <mergeCell ref="F9:I9"/>
    <mergeCell ref="H147:I147"/>
    <mergeCell ref="F39:I39"/>
    <mergeCell ref="A149:C149"/>
    <mergeCell ref="A163:C163"/>
    <mergeCell ref="A158:C158"/>
    <mergeCell ref="A151:C151"/>
    <mergeCell ref="D170:E170"/>
    <mergeCell ref="F164:G164"/>
    <mergeCell ref="A16:E16"/>
    <mergeCell ref="H164:I164"/>
    <mergeCell ref="A25:E25"/>
    <mergeCell ref="A150:C150"/>
    <mergeCell ref="A12:E12"/>
    <mergeCell ref="D175:E175"/>
    <mergeCell ref="A170:C170"/>
    <mergeCell ref="F150:G150"/>
    <mergeCell ref="F30:I30"/>
    <mergeCell ref="D168:E168"/>
    <mergeCell ref="A32:E32"/>
    <mergeCell ref="H159:I159"/>
    <mergeCell ref="A14:E14"/>
    <mergeCell ref="F20:I20"/>
    <mergeCell ref="D165:E165"/>
    <mergeCell ref="F33:I33"/>
    <mergeCell ref="D152:E152"/>
    <mergeCell ref="D167:E167"/>
    <mergeCell ref="F152:G152"/>
    <mergeCell ref="A29:E29"/>
    <mergeCell ref="D161:E161"/>
    <mergeCell ref="F167:G167"/>
    <mergeCell ref="F161:G161"/>
    <mergeCell ref="F17:I17"/>
    <mergeCell ref="H173:I173"/>
    <mergeCell ref="F154:G154"/>
    <mergeCell ref="D163:E163"/>
    <mergeCell ref="F163:G163"/>
    <mergeCell ref="F148:G148"/>
    <mergeCell ref="F175:G175"/>
    <mergeCell ref="F162:G162"/>
    <mergeCell ref="F13:I13"/>
    <mergeCell ref="A34:E34"/>
    <mergeCell ref="H162:I162"/>
    <mergeCell ref="F171:G171"/>
    <mergeCell ref="H156:I156"/>
    <mergeCell ref="H171:I171"/>
    <mergeCell ref="H165:I165"/>
    <mergeCell ref="F146:G146"/>
    <mergeCell ref="H146:I146"/>
    <mergeCell ref="F37:I37"/>
    <mergeCell ref="A36:E36"/>
    <mergeCell ref="A160:C160"/>
    <mergeCell ref="A175:C175"/>
    <mergeCell ref="H148:I148"/>
    <mergeCell ref="H157:I157"/>
    <mergeCell ref="A159:C159"/>
    <mergeCell ref="F19:I19"/>
    <mergeCell ref="F34:I34"/>
    <mergeCell ref="A147:C147"/>
    <mergeCell ref="D166:E166"/>
    <mergeCell ref="A161:C161"/>
    <mergeCell ref="A2:I2"/>
    <mergeCell ref="H161:I161"/>
    <mergeCell ref="F173:G173"/>
    <mergeCell ref="D151:E151"/>
    <mergeCell ref="D160:E160"/>
    <mergeCell ref="F29:I29"/>
    <mergeCell ref="F16:I16"/>
    <mergeCell ref="A37:E37"/>
    <mergeCell ref="F160:G160"/>
    <mergeCell ref="F25:I25"/>
    <mergeCell ref="D150:E150"/>
    <mergeCell ref="A156:C156"/>
    <mergeCell ref="A171:C171"/>
    <mergeCell ref="A165:C165"/>
    <mergeCell ref="A21:E21"/>
    <mergeCell ref="F153:G153"/>
    <mergeCell ref="A26:E26"/>
    <mergeCell ref="A155:C155"/>
    <mergeCell ref="D5:I5"/>
    <mergeCell ref="A173:C173"/>
    <mergeCell ref="F15:I15"/>
    <mergeCell ref="D4:E4"/>
    <mergeCell ref="A23:E23"/>
    <mergeCell ref="A148:C148"/>
    <mergeCell ref="A39:E39"/>
    <mergeCell ref="H166:I166"/>
    <mergeCell ref="F27:I27"/>
    <mergeCell ref="D172:E172"/>
    <mergeCell ref="F172:G172"/>
    <mergeCell ref="D174:E174"/>
    <mergeCell ref="F174:G174"/>
    <mergeCell ref="A11:E11"/>
    <mergeCell ref="F168:G168"/>
    <mergeCell ref="D155:E155"/>
    <mergeCell ref="H168:I168"/>
    <mergeCell ref="D149:E149"/>
    <mergeCell ref="D158:E158"/>
    <mergeCell ref="F158:G158"/>
    <mergeCell ref="H152:I152"/>
    <mergeCell ref="A157:C157"/>
    <mergeCell ref="F170:G170"/>
    <mergeCell ref="H170:I170"/>
    <mergeCell ref="D164:E164"/>
    <mergeCell ref="H154:I154"/>
    <mergeCell ref="F23:I23"/>
    <mergeCell ref="D148:E148"/>
    <mergeCell ref="H172:I172"/>
    <mergeCell ref="A174:C174"/>
  </mergeCells>
  <dataValidations count="2">
    <dataValidation type="list" allowBlank="1" sqref="C4" xr:uid="{00000000-0002-0000-0700-000000000000}">
      <formula1>$K$4:$K$53</formula1>
    </dataValidation>
    <dataValidation type="list" allowBlank="1" sqref="C5" xr:uid="{00000000-0002-0000-0700-000001000000}">
      <formula1>$M$5:$M$24</formula1>
    </dataValidation>
  </dataValidations>
  <pageMargins left="0.75" right="0.75" top="1" bottom="1" header="0.5" footer="0.5"/>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Guide</vt:lpstr>
      <vt:lpstr>Settings</vt:lpstr>
      <vt:lpstr>Zakat Summary</vt:lpstr>
      <vt:lpstr>Stocks</vt:lpstr>
      <vt:lpstr>Cash</vt:lpstr>
      <vt:lpstr>Debts</vt:lpstr>
      <vt:lpstr>Ledger</vt:lpstr>
      <vt:lpstr>Reports</vt:lpstr>
      <vt:lpstr>Cash!Print_Area</vt:lpstr>
      <vt:lpstr>Debts!Print_Area</vt:lpstr>
      <vt:lpstr>Ledger!Print_Area</vt:lpstr>
      <vt:lpstr>Reports!Print_Area</vt:lpstr>
      <vt:lpstr>Stocks!Print_Area</vt:lpstr>
      <vt:lpstr>'Zakat Summary'!Print_Area</vt:lpstr>
      <vt:lpstr>Cash!Print_Titles</vt:lpstr>
      <vt:lpstr>Debts!Print_Titles</vt:lpstr>
      <vt:lpstr>Ledger!Print_Titles</vt:lpstr>
      <vt:lpstr>Reports!Print_Titles</vt:lpstr>
      <vt:lpstr>Stocks!Print_Titles</vt:lpstr>
      <vt:lpstr>'Zakat 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Zakat-LogBook</dc:title>
  <dc:subject>Related to Zakat calulation</dc:subject>
  <dc:creator>Jad00gar</dc:creator>
  <cp:keywords>Zakat;Finance;islamic</cp:keywords>
  <cp:lastModifiedBy>Zia Khan</cp:lastModifiedBy>
  <dcterms:created xsi:type="dcterms:W3CDTF">2026-03-13T21:57:33Z</dcterms:created>
  <dcterms:modified xsi:type="dcterms:W3CDTF">2026-03-13T22:08:43Z</dcterms:modified>
  <cp:category>Islamic Finance</cp:category>
</cp:coreProperties>
</file>