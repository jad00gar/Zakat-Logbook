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Settings" sheetId="2" state="visible" r:id="rId4"/>
    <sheet name="Zakat Summary" sheetId="3" state="visible" r:id="rId5"/>
    <sheet name="Stocks" sheetId="4" state="visible" r:id="rId6"/>
    <sheet name="Cash" sheetId="5" state="visible" r:id="rId7"/>
    <sheet name="Debts" sheetId="6" state="visible" r:id="rId8"/>
    <sheet name="Ledger" sheetId="7" state="visible" r:id="rId9"/>
    <sheet name="Reports" sheetId="8" state="visible" r:id="rId10"/>
  </sheets>
  <definedNames>
    <definedName function="false" hidden="true" localSheetId="4" name="_xlnm._FilterDatabase" vbProcedure="false">Cash!$A$3:$H$13</definedName>
    <definedName function="false" hidden="true" localSheetId="5" name="_xlnm._FilterDatabase" vbProcedure="false">Debts!$A$3:$H$13</definedName>
    <definedName function="false" hidden="false" localSheetId="6" name="_xlnm.Print_Area" vbProcedure="false">Ledger!$A$1:$I$207</definedName>
    <definedName function="false" hidden="false" localSheetId="6" name="_xlnm.Print_Titles" vbProcedure="false">Ledger!$1:$5</definedName>
    <definedName function="false" hidden="true" localSheetId="6" name="_xlnm._FilterDatabase" vbProcedure="false">Ledger!$A$5:$I$205</definedName>
    <definedName function="false" hidden="false" localSheetId="7" name="_xlnm.Print_Area" vbProcedure="false">Reports!$A$1:$I$177</definedName>
    <definedName function="false" hidden="false" localSheetId="7" name="_xlnm.Print_Titles" vbProcedure="false">Reports!$1:$5</definedName>
    <definedName function="false" hidden="true" localSheetId="3" name="_xlnm._FilterDatabase" vbProcedure="false">Stocks!$A$3:$H$13</definedName>
    <definedName function="false" hidden="false" localSheetId="2" name="_xlnm.Print_Area" vbProcedure="false">'Zakat Summary'!$A$1:$M$24</definedName>
    <definedName function="false" hidden="false" localSheetId="2" name="_xlnm.Print_Titles" vbProcedure="false">'Zakat Summary'!$1:$4</definedName>
    <definedName function="false" hidden="true" localSheetId="2" name="_xlnm._FilterDatabase" vbProcedure="false">'Zakat Summary'!$A$3:$M$14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<sst xmlns="http://schemas.openxmlformats.org/spreadsheetml/2006/main" count="273" uniqueCount="244">
  <si>
    <t xml:space="preserve">📖  WORKBOOK GUIDE &amp; REFERENCE</t>
  </si>
  <si>
    <t xml:space="preserve">Everything you need to know about using this Zakat tracker. All legends from other sheets have been consolidated here.</t>
  </si>
  <si>
    <t xml:space="preserve">🎨  Colour Coding Standard</t>
  </si>
  <si>
    <t xml:space="preserve">Blue text</t>
  </si>
  <si>
    <t xml:space="preserve">Manual input cells — these are the cells you type into</t>
  </si>
  <si>
    <t xml:space="preserve">Green text</t>
  </si>
  <si>
    <t xml:space="preserve">Auto-calculated or linked from another sheet — do not edit</t>
  </si>
  <si>
    <t xml:space="preserve">Red text</t>
  </si>
  <si>
    <t xml:space="preserve">Debts, liabilities, or amounts still owed</t>
  </si>
  <si>
    <t xml:space="preserve">Purple text</t>
  </si>
  <si>
    <t xml:space="preserve">Report totals in the Reports sheet</t>
  </si>
  <si>
    <t xml:space="preserve">Orange text</t>
  </si>
  <si>
    <t xml:space="preserve">Qurbani and certain breakdown values</t>
  </si>
  <si>
    <t xml:space="preserve">Yellow background</t>
  </si>
  <si>
    <t xml:space="preserve">The person-selector cell on the Reports sheet</t>
  </si>
  <si>
    <t xml:space="preserve">Gold background</t>
  </si>
  <si>
    <t xml:space="preserve">Nisab threshold — highlights the minimum wealth threshold column</t>
  </si>
  <si>
    <t xml:space="preserve">Orange background</t>
  </si>
  <si>
    <t xml:space="preserve">Zakat Due column — what you owe for each year</t>
  </si>
  <si>
    <t xml:space="preserve">Pink/red bg</t>
  </si>
  <si>
    <t xml:space="preserve">Running balance — how much Zakat is still outstanding</t>
  </si>
  <si>
    <t xml:space="preserve">📋  Sheet-by-Sheet Guide</t>
  </si>
  <si>
    <t xml:space="preserve">Zakat Summary</t>
  </si>
  <si>
    <t xml:space="preserve">Main dashboard. One row per Zakat year. Enter the date, gold price, and oz of gold you own. Everything else is pulled automatically from Stocks, Cash, and Debts sheets.</t>
  </si>
  <si>
    <t xml:space="preserve">Stocks</t>
  </si>
  <si>
    <t xml:space="preserve">Track your investment/brokerage accounts. One row per year. Each column = one account. Insert a new column before 'Total Portfolio' to add an account.</t>
  </si>
  <si>
    <t xml:space="preserve">Cash</t>
  </si>
  <si>
    <t xml:space="preserve">Track cash, checking, savings, and liquid accounts. Same row-per-year layout. Insert columns before 'Total Cash' to add accounts.</t>
  </si>
  <si>
    <t xml:space="preserve">Debts</t>
  </si>
  <si>
    <t xml:space="preserve">List all outstanding debts. Totals are deducted from your zakatable assets in the Summary. Insert columns before 'Total Debts' to add debt accounts.</t>
  </si>
  <si>
    <t xml:space="preserve">Ledger</t>
  </si>
  <si>
    <t xml:space="preserve">Record every payment — Zakat, Sadaqah, Fitrana, Qurbani, and other types. Use the Type and Service dropdowns. Amount + Fees = Total Paid.</t>
  </si>
  <si>
    <t xml:space="preserve">Reports</t>
  </si>
  <si>
    <t xml:space="preserve">Select any person from the dropdown to see all payments made to them, broken down by type, with full transaction history.</t>
  </si>
  <si>
    <t xml:space="preserve">Settings</t>
  </si>
  <si>
    <t xml:space="preserve">Manage your dropdown lists (payment types and transfer services) and configure the Nisab calculation. All changes take effect immediately.</t>
  </si>
  <si>
    <t xml:space="preserve">Guide (this)</t>
  </si>
  <si>
    <t xml:space="preserve">Reference sheet. All colour codes, column explanations, and FAQ. Nothing here affects calculations.</t>
  </si>
  <si>
    <t xml:space="preserve">📊  Zakat Summary — Column-by-Column Explanation</t>
  </si>
  <si>
    <t xml:space="preserve">Zakat Date</t>
  </si>
  <si>
    <t xml:space="preserve">The date on which you calculate your annual Zakat. Typically the same date each lunar year (your 'Zakat anniversary').</t>
  </si>
  <si>
    <t xml:space="preserve">Stock Portfolio ($)</t>
  </si>
  <si>
    <t xml:space="preserve">Auto-pulled from the Stocks sheet — total of all brokerage/investment accounts on that date.</t>
  </si>
  <si>
    <t xml:space="preserve">Cash &amp; Liquid ($)</t>
  </si>
  <si>
    <t xml:space="preserve">Auto-pulled from the Cash sheet — total of all checking, savings, and liquid balances.</t>
  </si>
  <si>
    <t xml:space="preserve">Total Debts ($)</t>
  </si>
  <si>
    <t xml:space="preserve">Auto-pulled from the Debts sheet — subtracted from your assets when calculating net zakatable wealth.</t>
  </si>
  <si>
    <t xml:space="preserve">Gold Price ($/oz)</t>
  </si>
  <si>
    <t xml:space="preserve">Enter the gold spot price in USD per troy oz on your Zakat date. Look up at goldprice.org or kitco.com.</t>
  </si>
  <si>
    <t xml:space="preserve">Gold Owned (oz)</t>
  </si>
  <si>
    <t xml:space="preserve">How many troy oz of gold you personally own on that date (jewelry, coins, bars, etc.).</t>
  </si>
  <si>
    <t xml:space="preserve">Value of Gold ($)</t>
  </si>
  <si>
    <t xml:space="preserve">Auto-calculated: Gold Price × Gold Owned oz.</t>
  </si>
  <si>
    <t xml:space="preserve">Net Zakatable Assets ($)</t>
  </si>
  <si>
    <t xml:space="preserve">Stocks + Cash + Gold Value − Debts. This is the wealth on which Zakat is assessed.</t>
  </si>
  <si>
    <t xml:space="preserve">Nisab Threshold ($)</t>
  </si>
  <si>
    <t xml:space="preserve">The minimum wealth threshold for Zakat to be obligatory. Calculated as: Gold Price × Nisab oz (default 2.7315 oz = 85g gold). If your Net Assets are BELOW Nisab, no Zakat is due that year. You can change the Nisab oz amount in Settings → Nisab Settings if your scholar uses a different standard.</t>
  </si>
  <si>
    <t xml:space="preserve">Zakat Due (2.5%) ($)</t>
  </si>
  <si>
    <t xml:space="preserve">2.5% of Net Zakatable Assets — but ONLY if Net Assets ≥ Nisab. Shows $0 if below threshold.</t>
  </si>
  <si>
    <t xml:space="preserve">Paid This Period ($)</t>
  </si>
  <si>
    <t xml:space="preserve">Auto-calculated from the Ledger: total of all 'Zakat' type payments with dates between the previous Zakat date and this one.</t>
  </si>
  <si>
    <t xml:space="preserve">Running Balance ($)</t>
  </si>
  <si>
    <t xml:space="preserve">Cumulative: Zakat Due − Paid This Period + previous year's balance. Positive = you still owe. Negative = you have overpaid (credit toward next year).</t>
  </si>
  <si>
    <t xml:space="preserve">🌙  What Is Nisab? — Detailed Explanation</t>
  </si>
  <si>
    <t xml:space="preserve">Definition</t>
  </si>
  <si>
    <t xml:space="preserve">Nisab (نصاب) is the minimum amount of wealth a Muslim must possess continuously for one lunar year before Zakat becomes obligatory. It is the zakatable 'floor' — wealth below this level is exempt.</t>
  </si>
  <si>
    <t xml:space="preserve">Gold Standard (default)</t>
  </si>
  <si>
    <t xml:space="preserve">85 grams of gold. At the current gold price, divide 85 by 31.1035 (grams per troy oz) = 2.7315 troy oz. Multiply by the gold spot price on your Zakat date to get the Nisab in dollars. This workbook uses this standard by default.</t>
  </si>
  <si>
    <t xml:space="preserve">Silver Standard</t>
  </si>
  <si>
    <t xml:space="preserve">595 grams of silver = 19.1358 troy oz × silver price. Because silver is much cheaper than gold, the silver Nisab is a lower dollar threshold — meaning more people qualify to pay Zakat. Some scholars prefer this for that reason.</t>
  </si>
  <si>
    <t xml:space="preserve">Which should I use?</t>
  </si>
  <si>
    <t xml:space="preserve">Follow the guidance of your scholar or local mosque. The gold standard is most widely used in North America. You can change the Nisab oz value in the Settings sheet without rebuilding anything.</t>
  </si>
  <si>
    <t xml:space="preserve">One Lunar Year Rule</t>
  </si>
  <si>
    <t xml:space="preserve">You must possess wealth above Nisab for a complete lunar year (Hawl) before Zakat is due. This workbook assumes you are calculating at year-end — it does not track month-by-month.</t>
  </si>
  <si>
    <t xml:space="preserve">❓  Frequently Asked Questions</t>
  </si>
  <si>
    <t xml:space="preserve">How do I add a new account?</t>
  </si>
  <si>
    <t xml:space="preserve">Go to Stocks, Cash, or Debts sheet → right-click the 'Total' column header → Insert → type your account name in the header row. The SUM expands automatically.</t>
  </si>
  <si>
    <t xml:space="preserve">How do I add a new payment type?</t>
  </si>
  <si>
    <t xml:space="preserve">Go to Settings sheet → type the new type in any empty yellow cell under 'PAYMENT TYPES'. It will immediately appear in the Ledger Type dropdown and Reports breakdown.</t>
  </si>
  <si>
    <t xml:space="preserve">How do I add a new transfer service?</t>
  </si>
  <si>
    <t xml:space="preserve">Go to Settings sheet → type the new service in any empty green cell under 'SERVICES / TRANSFER METHODS'.</t>
  </si>
  <si>
    <t xml:space="preserve">Can I change the Nisab standard?</t>
  </si>
  <si>
    <t xml:space="preserve">Yes — go to Settings → Nisab Settings. Change the 'Gold Nisab (troy oz)' value. The Zakat Summary will recalculate immediately.</t>
  </si>
  <si>
    <t xml:space="preserve">What if I paid Zakat in multiple instalments?</t>
  </si>
  <si>
    <t xml:space="preserve">Enter each payment as a separate row in the Ledger with type = 'Zakat'. The 'Paid This Period' column in the Summary sums all entries between Zakat dates.</t>
  </si>
  <si>
    <t xml:space="preserve">Why does Running Balance show positive?</t>
  </si>
  <si>
    <t xml:space="preserve">Positive balance means you still owe Zakat — you have not yet paid the full amount due. Negative means you overpaid (credit toward next year).</t>
  </si>
  <si>
    <t xml:space="preserve">This workbook is for personal tracking only. Consult a qualified Islamic scholar for formal Zakat rulings specific to your situation.</t>
  </si>
  <si>
    <t xml:space="preserve">⚙  SETTINGS — Manage Your Dropdown Lists</t>
  </si>
  <si>
    <t xml:space="preserve">Add or remove items in the lists below. Changes take effect immediately in all dropdowns across the workbook. Do NOT leave blank rows between items.</t>
  </si>
  <si>
    <t xml:space="preserve">PAYMENT TYPES</t>
  </si>
  <si>
    <t xml:space="preserve">SERVICES / TRANSFER METHODS</t>
  </si>
  <si>
    <t xml:space="preserve">RECIPIENTS / GIVEN TO</t>
  </si>
  <si>
    <t xml:space="preserve">COLOUR LEGEND</t>
  </si>
  <si>
    <t xml:space="preserve">Zakat</t>
  </si>
  <si>
    <t xml:space="preserve">Remitly</t>
  </si>
  <si>
    <t xml:space="preserve">Islamic Relief USA</t>
  </si>
  <si>
    <t xml:space="preserve">Blue text: Manual input cells — type here</t>
  </si>
  <si>
    <t xml:space="preserve">Sadaqah</t>
  </si>
  <si>
    <t xml:space="preserve">Western Union</t>
  </si>
  <si>
    <t xml:space="preserve">Zakat Foundation</t>
  </si>
  <si>
    <t xml:space="preserve">Green text: Calculated / linked from another sheet</t>
  </si>
  <si>
    <t xml:space="preserve">Fitrana</t>
  </si>
  <si>
    <t xml:space="preserve">Wise (TransferWise)</t>
  </si>
  <si>
    <t xml:space="preserve">LaunchGood</t>
  </si>
  <si>
    <t xml:space="preserve">Red text: Debts or amounts owed</t>
  </si>
  <si>
    <t xml:space="preserve">Qurbani</t>
  </si>
  <si>
    <t xml:space="preserve">PayPal</t>
  </si>
  <si>
    <t xml:space="preserve">Local Mosque</t>
  </si>
  <si>
    <t xml:space="preserve">Purple text: Report totals</t>
  </si>
  <si>
    <t xml:space="preserve">Lillah</t>
  </si>
  <si>
    <t xml:space="preserve">Zelle</t>
  </si>
  <si>
    <t xml:space="preserve">Family Member</t>
  </si>
  <si>
    <t xml:space="preserve">Yellow bg: Person selector on Reports sheet</t>
  </si>
  <si>
    <t xml:space="preserve">Kaffarah</t>
  </si>
  <si>
    <t xml:space="preserve">Bank Transfer</t>
  </si>
  <si>
    <t xml:space="preserve">Orange bg: Zakat due amounts</t>
  </si>
  <si>
    <t xml:space="preserve">Sadaqah Jariyah</t>
  </si>
  <si>
    <t xml:space="preserve">Check</t>
  </si>
  <si>
    <t xml:space="preserve">Venmo</t>
  </si>
  <si>
    <t xml:space="preserve">CashApp</t>
  </si>
  <si>
    <t xml:space="preserve">MoneyGram</t>
  </si>
  <si>
    <t xml:space="preserve">Other</t>
  </si>
  <si>
    <t xml:space="preserve">← Add more types above</t>
  </si>
  <si>
    <t xml:space="preserve">← Add more services above</t>
  </si>
  <si>
    <t xml:space="preserve">← Add recipients above</t>
  </si>
  <si>
    <t xml:space="preserve">NISAB SETTINGS</t>
  </si>
  <si>
    <t xml:space="preserve">What is Nisab?</t>
  </si>
  <si>
    <t xml:space="preserve">Nisab is the minimum threshold of wealth a Muslim must possess before Zakat becomes obligatory. If your net zakatable assets (stocks + cash + gold − debts) equal or exceed the Nisab value on your Zakat date, you owe 2.5% of those total assets as Zakat.</t>
  </si>
  <si>
    <t xml:space="preserve">Two standards:</t>
  </si>
  <si>
    <t xml:space="preserve">Scholars use two measures: (1) Gold Nisab = 85 grams of gold, and (2) Silver Nisab = 595 grams of silver. The gold standard is most commonly used today and is the default here. Some scholars recommend the silver standard as it results in more people paying Zakat (silver Nisab is lower).</t>
  </si>
  <si>
    <t xml:space="preserve">How it's calculated:</t>
  </si>
  <si>
    <t xml:space="preserve">Gold Nisab = 85g ÷ 31.1035g per troy oz = 2.7315 troy oz × gold spot price on your Zakat date. The Zakat Summary sheet pulls the gold price you enter and multiplies by the oz amount set below.</t>
  </si>
  <si>
    <t xml:space="preserve">Setting</t>
  </si>
  <si>
    <t xml:space="preserve">Your Value</t>
  </si>
  <si>
    <t xml:space="preserve">Notes</t>
  </si>
  <si>
    <t xml:space="preserve">Nisab Standard</t>
  </si>
  <si>
    <t xml:space="preserve">Gold</t>
  </si>
  <si>
    <t xml:space="preserve">Gold (85g) or Silver (595g) — Gold is the default used in Zakat Summary</t>
  </si>
  <si>
    <t xml:space="preserve">Gold Nisab (troy oz)</t>
  </si>
  <si>
    <t xml:space="preserve">85g ÷ 31.1035 g/oz = 2.7315 oz  |  Change if your scholar uses a different conversion</t>
  </si>
  <si>
    <t xml:space="preserve">Silver Nisab (troy oz)</t>
  </si>
  <si>
    <t xml:space="preserve">595g ÷ 31.1035 g/oz = 19.1358 oz  |  Only used if you switch to the silver standard above</t>
  </si>
  <si>
    <t xml:space="preserve">⚡  CURRENT NISAB CALCULATOR  —  Enter today's gold price to see threshold instantly</t>
  </si>
  <si>
    <t xml:space="preserve">Today's Gold Price ($/oz)</t>
  </si>
  <si>
    <t xml:space="preserve">Gold Nisab Today ($)</t>
  </si>
  <si>
    <t xml:space="preserve">Silver Price ($/oz) — optional</t>
  </si>
  <si>
    <t xml:space="preserve">ZAKAT CALCULATOR — ANNUAL SUMMARY</t>
  </si>
  <si>
    <t xml:space="preserve">Each row = one Zakat year. Totals auto-pulled from Stocks, Cash, Debts sheets. Paid amounts pulled from Ledger.</t>
  </si>
  <si>
    <t xml:space="preserve">Nisab
Threshold ($)</t>
  </si>
  <si>
    <t xml:space="preserve">Status</t>
  </si>
  <si>
    <t xml:space="preserve">Brought
Forward ($)</t>
  </si>
  <si>
    <t xml:space="preserve">Zakat calculation date — duplicates highlighted red</t>
  </si>
  <si>
    <t xml:space="preserve">Auto-pulled from Stocks sheet total</t>
  </si>
  <si>
    <t xml:space="preserve">Auto-pulled from Cash sheet total</t>
  </si>
  <si>
    <t xml:space="preserve">Auto-pulled from Debts sheet total</t>
  </si>
  <si>
    <t xml:space="preserve">Enter gold spot price on this date ($/troy oz)</t>
  </si>
  <si>
    <t xml:space="preserve">Enter how many troy oz of gold you own</t>
  </si>
  <si>
    <t xml:space="preserve">Gold value = Price × oz (auto-calculated)</t>
  </si>
  <si>
    <t xml:space="preserve">Stocks + Cash + Gold − Debts</t>
  </si>
  <si>
    <t xml:space="preserve">Nisab = minimum wealth to owe Zakat. Calculated as gold price × 2.7315 oz (= 85g gold). Edit the oz in Settings → Nisab Settings. Zakat is due ONLY if Net Assets ≥ Nisab.</t>
  </si>
  <si>
    <t xml:space="preserve">2.5% of Net Assets if ≥ Nisab, else $0</t>
  </si>
  <si>
    <t xml:space="preserve">Zakat payments from Ledger in this period</t>
  </si>
  <si>
    <t xml:space="preserve">Cumulative balance: positive = still owe</t>
  </si>
  <si>
    <t xml:space="preserve">Payment status for this year</t>
  </si>
  <si>
    <t xml:space="preserve">Unpaid Zakat carried in from prior year</t>
  </si>
  <si>
    <t xml:space="preserve">ZAKAT SUMMARY DASHBOARD</t>
  </si>
  <si>
    <t xml:space="preserve">Total Zakat Owed
(All Years)</t>
  </si>
  <si>
    <t xml:space="preserve">Total Zakat Paid
(from Ledger)</t>
  </si>
  <si>
    <t xml:space="preserve">Total Sadaqah Paid
(from Ledger)</t>
  </si>
  <si>
    <t xml:space="preserve">Total Fitrana Paid
(from Ledger)</t>
  </si>
  <si>
    <t xml:space="preserve">Total Qurbani Paid
(from Ledger)</t>
  </si>
  <si>
    <t xml:space="preserve">Outstanding Balance
(Owed − Paid)</t>
  </si>
  <si>
    <t xml:space="preserve">🌙  HAWL TRACKER — Next Zakat Due Date</t>
  </si>
  <si>
    <t xml:space="preserve">Hawl = one complete lunar year (354 days) of wealth above Nisab. Shows countdown to your next Zakat anniversary based on your most recent Zakat date.</t>
  </si>
  <si>
    <t xml:space="preserve">Last Zakat Date</t>
  </si>
  <si>
    <t xml:space="preserve">Next Due (+354 days)</t>
  </si>
  <si>
    <t xml:space="preserve">Days Remaining</t>
  </si>
  <si>
    <t xml:space="preserve">Today (auto)</t>
  </si>
  <si>
    <t xml:space="preserve">STOCK PORTFOLIO TRACKER</t>
  </si>
  <si>
    <t xml:space="preserve">Enter portfolio value for each account on the Zakat calculation date. One row = one year.</t>
  </si>
  <si>
    <t xml:space="preserve">Date</t>
  </si>
  <si>
    <t xml:space="preserve">TD Ameritrade</t>
  </si>
  <si>
    <t xml:space="preserve">Charles Schwab</t>
  </si>
  <si>
    <t xml:space="preserve">Fidelity</t>
  </si>
  <si>
    <t xml:space="preserve">Vanguard</t>
  </si>
  <si>
    <t xml:space="preserve">Robinhood</t>
  </si>
  <si>
    <t xml:space="preserve">Other Account</t>
  </si>
  <si>
    <t xml:space="preserve">Total Portfolio</t>
  </si>
  <si>
    <t xml:space="preserve">CASH &amp; LIQUID ASSETS TRACKER</t>
  </si>
  <si>
    <t xml:space="preserve">Enter balances for each account on the Zakat calculation date. One row = one year.</t>
  </si>
  <si>
    <t xml:space="preserve">Chase Checking</t>
  </si>
  <si>
    <t xml:space="preserve">Chase Savings</t>
  </si>
  <si>
    <t xml:space="preserve">Bank of America</t>
  </si>
  <si>
    <t xml:space="preserve">Money Market</t>
  </si>
  <si>
    <t xml:space="preserve">Cash on Hand</t>
  </si>
  <si>
    <t xml:space="preserve">Other Liquid</t>
  </si>
  <si>
    <t xml:space="preserve">Total Cash</t>
  </si>
  <si>
    <t xml:space="preserve">DEBTS &amp; LIABILITIES TRACKER</t>
  </si>
  <si>
    <t xml:space="preserve">Enter outstanding balances on the Zakat calculation date. Deducted from zakatable assets. One row = one year.</t>
  </si>
  <si>
    <t xml:space="preserve">Chase Credit Card</t>
  </si>
  <si>
    <t xml:space="preserve">Citi Credit Card</t>
  </si>
  <si>
    <t xml:space="preserve">Amex Credit Card</t>
  </si>
  <si>
    <t xml:space="preserve">Car Loan</t>
  </si>
  <si>
    <t xml:space="preserve">Personal Loan</t>
  </si>
  <si>
    <t xml:space="preserve">Other Debt</t>
  </si>
  <si>
    <t xml:space="preserve">Total Debts</t>
  </si>
  <si>
    <t xml:space="preserve">🔍  Search / Filter:</t>
  </si>
  <si>
    <t xml:space="preserve">ZAKAT &amp; SADAQAH LEDGER</t>
  </si>
  <si>
    <t xml:space="preserve">Record every payment made — Zakat, Sadaqah, Fitrana, Qurbani. Amount + Fees = Total Paid. Use the Type &amp; Service dropdowns.</t>
  </si>
  <si>
    <t xml:space="preserve">Type</t>
  </si>
  <si>
    <t xml:space="preserve">Service Used</t>
  </si>
  <si>
    <t xml:space="preserve">Given To</t>
  </si>
  <si>
    <t xml:space="preserve">Details / Notes</t>
  </si>
  <si>
    <t xml:space="preserve">Amount ($)</t>
  </si>
  <si>
    <t xml:space="preserve">Fees ($)</t>
  </si>
  <si>
    <t xml:space="preserve">Total Paid ($)</t>
  </si>
  <si>
    <t xml:space="preserve">Running Total ($)</t>
  </si>
  <si>
    <t xml:space="preserve">TOTALS  →</t>
  </si>
  <si>
    <t xml:space="preserve">BREAKDOWN BY TYPE</t>
  </si>
  <si>
    <t xml:space="preserve">Total Zakat Paid:</t>
  </si>
  <si>
    <t xml:space="preserve">(Amount + Fees)</t>
  </si>
  <si>
    <t xml:space="preserve">Total Sadaqah Paid:</t>
  </si>
  <si>
    <t xml:space="preserve">Total Fitrana Paid:</t>
  </si>
  <si>
    <t xml:space="preserve">Total Qurbani Paid:</t>
  </si>
  <si>
    <t xml:space="preserve">ZAKAT &amp; SADAQAH — PERSON REPORT</t>
  </si>
  <si>
    <t xml:space="preserve">Select a person from the dropdown in C4. Breakdown cards update automatically when you add new Types in the Settings sheet.</t>
  </si>
  <si>
    <t xml:space="preserve">Unique Names</t>
  </si>
  <si>
    <t xml:space="preserve">Select Person:</t>
  </si>
  <si>
    <t xml:space="preserve">Total Given:</t>
  </si>
  <si>
    <t xml:space="preserve"># Transactions:</t>
  </si>
  <si>
    <t xml:space="preserve">Filter by Year:</t>
  </si>
  <si>
    <t xml:space="preserve">All Years</t>
  </si>
  <si>
    <t xml:space="preserve">Select a year to filter, or 'All Years' for everything</t>
  </si>
  <si>
    <t xml:space="preserve">BREAKDOWN BY TYPE  (auto-updates when you add types in the Settings sheet)</t>
  </si>
  <si>
    <t xml:space="preserve">Total Paid to Selected Person (Amount + Fees)</t>
  </si>
  <si>
    <t xml:space="preserve">#</t>
  </si>
  <si>
    <t xml:space="preserve">FILTERED TOTAL (shown rows)</t>
  </si>
  <si>
    <t xml:space="preserve">Tip: Add new Payment Types in the Settings sheet — they'll automatically appear as breakdown rows above. Shows up to 100 transactions per person.</t>
  </si>
  <si>
    <t xml:space="preserve">FEES PAID BY SERVICE — All Time (independent of person / year filter)</t>
  </si>
  <si>
    <t xml:space="preserve">Service</t>
  </si>
  <si>
    <t xml:space="preserve">Total Amount ($)</t>
  </si>
  <si>
    <t xml:space="preserve">Total Fees ($)</t>
  </si>
  <si>
    <t xml:space="preserve"># Payments</t>
  </si>
</sst>
</file>

<file path=xl/styles.xml><?xml version="1.0" encoding="utf-8"?>
<styleSheet xmlns="http://schemas.openxmlformats.org/spreadsheetml/2006/main">
  <numFmts count="8">
    <numFmt numFmtId="164" formatCode="General"/>
    <numFmt numFmtId="165" formatCode="#,##0.0000"/>
    <numFmt numFmtId="166" formatCode="\$#,##0.00"/>
    <numFmt numFmtId="167" formatCode="\$#,##0.00;&quot;($&quot;#,##0.00\);\-"/>
    <numFmt numFmtId="168" formatCode="mm/dd/yyyy"/>
    <numFmt numFmtId="169" formatCode="#,##0.000"/>
    <numFmt numFmtId="170" formatCode="0&quot; days&quot;"/>
    <numFmt numFmtId="171" formatCode="General"/>
  </numFmts>
  <fonts count="61">
    <font>
      <sz val="11"/>
      <color theme="1"/>
      <name val="Calibri"/>
      <family val="2"/>
      <charset val="1"/>
    </font>
    <font>
      <sz val="10"/>
      <name val="Arial"/>
      <family val="0"/>
    </font>
    <font>
      <sz val="10"/>
      <name val="Arial"/>
      <family val="0"/>
    </font>
    <font>
      <sz val="10"/>
      <name val="Arial"/>
      <family val="0"/>
    </font>
    <font>
      <b val="true"/>
      <sz val="16"/>
      <color rgb="FFFFFFFF"/>
      <name val="Aptos"/>
      <family val="0"/>
      <charset val="1"/>
    </font>
    <font>
      <i val="true"/>
      <sz val="10"/>
      <color rgb="FF444444"/>
      <name val="Aptos"/>
      <family val="0"/>
      <charset val="1"/>
    </font>
    <font>
      <sz val="11"/>
      <color theme="1"/>
      <name val="Aptos"/>
      <family val="0"/>
      <charset val="1"/>
    </font>
    <font>
      <b val="true"/>
      <sz val="12"/>
      <color rgb="FFFFFFFF"/>
      <name val="Aptos"/>
      <family val="0"/>
      <charset val="1"/>
    </font>
    <font>
      <b val="true"/>
      <sz val="10"/>
      <color rgb="FF000000"/>
      <name val="Aptos"/>
      <family val="0"/>
      <charset val="1"/>
    </font>
    <font>
      <sz val="10"/>
      <color rgb="FF000000"/>
      <name val="Aptos"/>
      <family val="0"/>
      <charset val="1"/>
    </font>
    <font>
      <i val="true"/>
      <sz val="9"/>
      <color rgb="FF888888"/>
      <name val="Aptos"/>
      <family val="0"/>
      <charset val="1"/>
    </font>
    <font>
      <b val="true"/>
      <sz val="14"/>
      <color rgb="FFFFFFFF"/>
      <name val="Aptos"/>
      <family val="0"/>
      <charset val="1"/>
    </font>
    <font>
      <i val="true"/>
      <sz val="9"/>
      <color rgb="FF444444"/>
      <name val="Aptos"/>
      <family val="0"/>
      <charset val="1"/>
    </font>
    <font>
      <b val="true"/>
      <sz val="11"/>
      <color rgb="FFFFFFFF"/>
      <name val="Aptos"/>
      <family val="0"/>
      <charset val="1"/>
    </font>
    <font>
      <b val="true"/>
      <sz val="10"/>
      <color rgb="FFFFFFFF"/>
      <name val="Aptos"/>
      <family val="0"/>
      <charset val="1"/>
    </font>
    <font>
      <sz val="10"/>
      <color rgb="FF0000FF"/>
      <name val="Aptos"/>
      <family val="0"/>
      <charset val="1"/>
    </font>
    <font>
      <b val="true"/>
      <sz val="10"/>
      <color rgb="FF0000FF"/>
      <name val="Aptos"/>
      <family val="0"/>
      <charset val="1"/>
    </font>
    <font>
      <sz val="9"/>
      <color rgb="FF444444"/>
      <name val="Aptos"/>
      <family val="0"/>
      <charset val="1"/>
    </font>
    <font>
      <i val="true"/>
      <sz val="8"/>
      <color rgb="FFAAAAAA"/>
      <name val="Aptos"/>
      <family val="0"/>
      <charset val="1"/>
    </font>
    <font>
      <sz val="9"/>
      <color rgb="FF222222"/>
      <name val="Aptos"/>
      <family val="0"/>
      <charset val="1"/>
    </font>
    <font>
      <b val="true"/>
      <sz val="11"/>
      <color rgb="FF0000FF"/>
      <name val="Aptos"/>
      <family val="0"/>
      <charset val="1"/>
    </font>
    <font>
      <i val="true"/>
      <sz val="9"/>
      <color rgb="FF666666"/>
      <name val="Aptos"/>
      <family val="0"/>
      <charset val="1"/>
    </font>
    <font>
      <b val="true"/>
      <sz val="9"/>
      <color rgb="FFFFFFFF"/>
      <name val="Aptos"/>
      <family val="0"/>
      <charset val="1"/>
    </font>
    <font>
      <b val="true"/>
      <sz val="13"/>
      <color rgb="FF0000FF"/>
      <name val="Aptos"/>
      <family val="0"/>
      <charset val="1"/>
    </font>
    <font>
      <b val="true"/>
      <sz val="13"/>
      <color rgb="FF008000"/>
      <name val="Aptos"/>
      <family val="0"/>
      <charset val="1"/>
    </font>
    <font>
      <i val="true"/>
      <sz val="8"/>
      <color rgb="FFFFFFFF"/>
      <name val="Aptos"/>
      <family val="0"/>
      <charset val="1"/>
    </font>
    <font>
      <i val="true"/>
      <sz val="8"/>
      <color rgb="FF555555"/>
      <name val="Aptos"/>
      <family val="0"/>
      <charset val="1"/>
    </font>
    <font>
      <b val="true"/>
      <i val="true"/>
      <sz val="8"/>
      <color rgb="FFFFFFFF"/>
      <name val="Aptos"/>
      <family val="0"/>
      <charset val="1"/>
    </font>
    <font>
      <sz val="10"/>
      <color rgb="FF008000"/>
      <name val="Aptos"/>
      <family val="0"/>
      <charset val="1"/>
    </font>
    <font>
      <sz val="10"/>
      <color rgb="FFC0392B"/>
      <name val="Aptos"/>
      <family val="0"/>
      <charset val="1"/>
    </font>
    <font>
      <b val="true"/>
      <sz val="10"/>
      <color rgb="FF008000"/>
      <name val="Aptos"/>
      <family val="0"/>
      <charset val="1"/>
    </font>
    <font>
      <b val="true"/>
      <sz val="10"/>
      <color rgb="FFC0392B"/>
      <name val="Aptos"/>
      <family val="0"/>
      <charset val="1"/>
    </font>
    <font>
      <b val="true"/>
      <sz val="13"/>
      <color rgb="FFC0392B"/>
      <name val="Aptos"/>
      <family val="0"/>
      <charset val="1"/>
    </font>
    <font>
      <b val="true"/>
      <sz val="13"/>
      <color rgb="FF6C3483"/>
      <name val="Aptos"/>
      <family val="0"/>
      <charset val="1"/>
    </font>
    <font>
      <b val="true"/>
      <sz val="13"/>
      <color rgb="FFE67E22"/>
      <name val="Aptos"/>
      <family val="0"/>
      <charset val="1"/>
    </font>
    <font>
      <i val="true"/>
      <sz val="9"/>
      <color rgb="FF333333"/>
      <name val="Aptos"/>
      <family val="0"/>
      <charset val="1"/>
    </font>
    <font>
      <b val="true"/>
      <sz val="11"/>
      <color rgb="FF6C3483"/>
      <name val="Aptos"/>
      <family val="0"/>
      <charset val="1"/>
    </font>
    <font>
      <b val="true"/>
      <sz val="13"/>
      <color rgb="FF000000"/>
      <name val="Aptos"/>
      <family val="0"/>
      <charset val="1"/>
    </font>
    <font>
      <b val="true"/>
      <sz val="11"/>
      <color rgb="FF000000"/>
      <name val="Aptos"/>
      <family val="0"/>
      <charset val="1"/>
    </font>
    <font>
      <i val="true"/>
      <sz val="10"/>
      <color rgb="FF888888"/>
      <name val="Aptos"/>
      <family val="0"/>
      <charset val="1"/>
    </font>
    <font>
      <b val="true"/>
      <sz val="9"/>
      <color rgb="FF008000"/>
      <name val="Aptos"/>
      <family val="0"/>
      <charset val="1"/>
    </font>
    <font>
      <b val="true"/>
      <sz val="13"/>
      <color rgb="FFFFFFFF"/>
      <name val="Aptos"/>
      <family val="0"/>
      <charset val="1"/>
    </font>
    <font>
      <b val="true"/>
      <sz val="10"/>
      <color rgb="FF6C3483"/>
      <name val="Aptos"/>
      <family val="0"/>
      <charset val="1"/>
    </font>
    <font>
      <b val="true"/>
      <sz val="9"/>
      <color rgb="FF6C3483"/>
      <name val="Aptos"/>
      <family val="0"/>
      <charset val="1"/>
    </font>
    <font>
      <b val="true"/>
      <sz val="15"/>
      <color rgb="FFFFFFFF"/>
      <name val="Aptos"/>
      <family val="0"/>
      <charset val="1"/>
    </font>
    <font>
      <i val="true"/>
      <sz val="9"/>
      <color rgb="FF555555"/>
      <name val="Aptos"/>
      <family val="0"/>
      <charset val="1"/>
    </font>
    <font>
      <i val="true"/>
      <sz val="7"/>
      <color rgb="FFCCCCCC"/>
      <name val="Aptos"/>
      <family val="0"/>
      <charset val="1"/>
    </font>
    <font>
      <b val="true"/>
      <sz val="12"/>
      <color rgb="FF0000FF"/>
      <name val="Aptos"/>
      <family val="0"/>
      <charset val="1"/>
    </font>
    <font>
      <b val="true"/>
      <sz val="14"/>
      <color rgb="FF008000"/>
      <name val="Aptos"/>
      <family val="0"/>
      <charset val="1"/>
    </font>
    <font>
      <sz val="7"/>
      <color rgb="FFCCCCCC"/>
      <name val="Aptos"/>
      <family val="0"/>
      <charset val="1"/>
    </font>
    <font>
      <b val="true"/>
      <sz val="12"/>
      <color rgb="FFC0392B"/>
      <name val="Aptos"/>
      <family val="0"/>
      <charset val="1"/>
    </font>
    <font>
      <b val="true"/>
      <sz val="12"/>
      <color rgb="FF6C3483"/>
      <name val="Aptos"/>
      <family val="0"/>
      <charset val="1"/>
    </font>
    <font>
      <b val="true"/>
      <sz val="10"/>
      <color rgb="FFE67E22"/>
      <name val="Aptos"/>
      <family val="0"/>
      <charset val="1"/>
    </font>
    <font>
      <b val="true"/>
      <sz val="12"/>
      <color rgb="FFE67E22"/>
      <name val="Aptos"/>
      <family val="0"/>
      <charset val="1"/>
    </font>
    <font>
      <b val="true"/>
      <sz val="12"/>
      <color rgb="FF008000"/>
      <name val="Aptos"/>
      <family val="0"/>
      <charset val="1"/>
    </font>
    <font>
      <b val="true"/>
      <sz val="10"/>
      <color rgb="FFA04000"/>
      <name val="Aptos"/>
      <family val="0"/>
      <charset val="1"/>
    </font>
    <font>
      <b val="true"/>
      <sz val="12"/>
      <color rgb="FFA04000"/>
      <name val="Aptos"/>
      <family val="0"/>
      <charset val="1"/>
    </font>
    <font>
      <b val="true"/>
      <sz val="9"/>
      <color rgb="FF000000"/>
      <name val="Aptos"/>
      <family val="0"/>
      <charset val="1"/>
    </font>
    <font>
      <sz val="9"/>
      <color rgb="FF008000"/>
      <name val="Aptos"/>
      <family val="0"/>
      <charset val="1"/>
    </font>
    <font>
      <sz val="9"/>
      <color rgb="FFC0392B"/>
      <name val="Aptos"/>
      <family val="0"/>
      <charset val="1"/>
    </font>
    <font>
      <sz val="9"/>
      <color rgb="FF6C3483"/>
      <name val="Aptos"/>
      <family val="0"/>
      <charset val="1"/>
    </font>
  </fonts>
  <fills count="43">
    <fill>
      <patternFill patternType="none"/>
    </fill>
    <fill>
      <patternFill patternType="gray125"/>
    </fill>
    <fill>
      <patternFill patternType="solid">
        <fgColor rgb="FF1F4E79"/>
        <bgColor rgb="FF3D5A80"/>
      </patternFill>
    </fill>
    <fill>
      <patternFill patternType="solid">
        <fgColor rgb="FF2E75B6"/>
        <bgColor rgb="FF2471A3"/>
      </patternFill>
    </fill>
    <fill>
      <patternFill patternType="solid">
        <fgColor rgb="FFDBEAFE"/>
        <bgColor rgb="FFEDE9FE"/>
      </patternFill>
    </fill>
    <fill>
      <patternFill patternType="solid">
        <fgColor rgb="FFEFF6FF"/>
        <bgColor rgb="FFEBF5FB"/>
      </patternFill>
    </fill>
    <fill>
      <patternFill patternType="solid">
        <fgColor rgb="FFD1FAE5"/>
        <bgColor rgb="FFD5F5E3"/>
      </patternFill>
    </fill>
    <fill>
      <patternFill patternType="solid">
        <fgColor rgb="FFECFDF5"/>
        <bgColor rgb="FFE8F8F5"/>
      </patternFill>
    </fill>
    <fill>
      <patternFill patternType="solid">
        <fgColor rgb="FFFEE2E2"/>
        <bgColor rgb="FFFAE5D3"/>
      </patternFill>
    </fill>
    <fill>
      <patternFill patternType="solid">
        <fgColor rgb="FFFFF5F5"/>
        <bgColor rgb="FFFFF7ED"/>
      </patternFill>
    </fill>
    <fill>
      <patternFill patternType="solid">
        <fgColor rgb="FFEDE9FE"/>
        <bgColor rgb="FFF0EAF8"/>
      </patternFill>
    </fill>
    <fill>
      <patternFill patternType="solid">
        <fgColor rgb="FFF5F3FF"/>
        <bgColor rgb="FFF9F5FF"/>
      </patternFill>
    </fill>
    <fill>
      <patternFill patternType="solid">
        <fgColor rgb="FFFFEDD5"/>
        <bgColor rgb="FFFDEBD0"/>
      </patternFill>
    </fill>
    <fill>
      <patternFill patternType="solid">
        <fgColor rgb="FFFFF7ED"/>
        <bgColor rgb="FFFEF9E7"/>
      </patternFill>
    </fill>
    <fill>
      <patternFill patternType="solid">
        <fgColor rgb="FFFEF9C3"/>
        <bgColor rgb="FFFFEDD5"/>
      </patternFill>
    </fill>
    <fill>
      <patternFill patternType="solid">
        <fgColor rgb="FFFEFCE8"/>
        <bgColor rgb="FFFFFDE7"/>
      </patternFill>
    </fill>
    <fill>
      <patternFill patternType="solid">
        <fgColor rgb="FFFEF9E7"/>
        <bgColor rgb="FFFEFCE8"/>
      </patternFill>
    </fill>
    <fill>
      <patternFill patternType="solid">
        <fgColor rgb="FFFFFDF0"/>
        <bgColor rgb="FFFFFBF5"/>
      </patternFill>
    </fill>
    <fill>
      <patternFill patternType="solid">
        <fgColor rgb="FFFDEBD0"/>
        <bgColor rgb="FFFFEDD5"/>
      </patternFill>
    </fill>
    <fill>
      <patternFill patternType="solid">
        <fgColor rgb="FFFFFBF5"/>
        <bgColor rgb="FFFFFDF0"/>
      </patternFill>
    </fill>
    <fill>
      <patternFill patternType="solid">
        <fgColor rgb="FFFADBD8"/>
        <bgColor rgb="FFFEE2E2"/>
      </patternFill>
    </fill>
    <fill>
      <patternFill patternType="solid">
        <fgColor rgb="FFEBF5FB"/>
        <bgColor rgb="FFEAF2FA"/>
      </patternFill>
    </fill>
    <fill>
      <patternFill patternType="solid">
        <fgColor rgb="FFFFFFFF"/>
        <bgColor rgb="FFFFFBF5"/>
      </patternFill>
    </fill>
    <fill>
      <patternFill patternType="solid">
        <fgColor rgb="FF4A235A"/>
        <bgColor rgb="FF3D3D3D"/>
      </patternFill>
    </fill>
    <fill>
      <patternFill patternType="solid">
        <fgColor rgb="FFE8DAEF"/>
        <bgColor rgb="FFE8DCF5"/>
      </patternFill>
    </fill>
    <fill>
      <patternFill patternType="solid">
        <fgColor rgb="FFF9F5FF"/>
        <bgColor rgb="FFF9F5FC"/>
      </patternFill>
    </fill>
    <fill>
      <patternFill patternType="solid">
        <fgColor rgb="FFFFFDE7"/>
        <bgColor rgb="FFFEFCE8"/>
      </patternFill>
    </fill>
    <fill>
      <patternFill patternType="solid">
        <fgColor rgb="FFE8F8F5"/>
        <bgColor rgb="FFE9F7EF"/>
      </patternFill>
    </fill>
    <fill>
      <patternFill patternType="solid">
        <fgColor rgb="FFF0F4F8"/>
        <bgColor rgb="FFF2F3F4"/>
      </patternFill>
    </fill>
    <fill>
      <patternFill patternType="solid">
        <fgColor rgb="FFF8F9FA"/>
        <bgColor rgb="FFF9F5FC"/>
      </patternFill>
    </fill>
    <fill>
      <patternFill patternType="solid">
        <fgColor rgb="FF3D5A80"/>
        <bgColor rgb="FF1F4E79"/>
      </patternFill>
    </fill>
    <fill>
      <patternFill patternType="solid">
        <fgColor rgb="FFD5F5E3"/>
        <bgColor rgb="FFD1FAE5"/>
      </patternFill>
    </fill>
    <fill>
      <patternFill patternType="solid">
        <fgColor rgb="FF2471A3"/>
        <bgColor rgb="FF2E75B6"/>
      </patternFill>
    </fill>
    <fill>
      <patternFill patternType="solid">
        <fgColor rgb="FFF2F3F4"/>
        <bgColor rgb="FFF0F4F8"/>
      </patternFill>
    </fill>
    <fill>
      <patternFill patternType="solid">
        <fgColor rgb="FFEAF2FA"/>
        <bgColor rgb="FFEBF5FB"/>
      </patternFill>
    </fill>
    <fill>
      <patternFill patternType="solid">
        <fgColor rgb="FFFAE5D3"/>
        <bgColor rgb="FFFDEBD0"/>
      </patternFill>
    </fill>
    <fill>
      <patternFill patternType="solid">
        <fgColor rgb="FFF4ECF7"/>
        <bgColor rgb="FFF0EAF8"/>
      </patternFill>
    </fill>
    <fill>
      <patternFill patternType="solid">
        <fgColor rgb="FF6C3483"/>
        <bgColor rgb="FF4A235A"/>
      </patternFill>
    </fill>
    <fill>
      <patternFill patternType="solid">
        <fgColor rgb="FFF0EAF8"/>
        <bgColor rgb="FFEDE9FE"/>
      </patternFill>
    </fill>
    <fill>
      <patternFill patternType="solid">
        <fgColor rgb="FFF9F5FC"/>
        <bgColor rgb="FFF9F5FF"/>
      </patternFill>
    </fill>
    <fill>
      <patternFill patternType="solid">
        <fgColor rgb="FFE9F7EF"/>
        <bgColor rgb="FFE8F8F5"/>
      </patternFill>
    </fill>
    <fill>
      <patternFill patternType="solid">
        <fgColor rgb="FFE8DCF5"/>
        <bgColor rgb="FFE8DAEF"/>
      </patternFill>
    </fill>
    <fill>
      <patternFill patternType="solid">
        <fgColor rgb="FFF9EBEA"/>
        <bgColor rgb="FFF4ECF7"/>
      </patternFill>
    </fill>
  </fills>
  <borders count="6">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medium"/>
      <right/>
      <top style="medium"/>
      <bottom style="medium"/>
      <diagonal/>
    </border>
    <border diagonalUp="false" diagonalDown="false">
      <left style="medium"/>
      <right style="medium"/>
      <top style="medium"/>
      <bottom style="medium"/>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8" fillId="4" borderId="2"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8" fillId="6" borderId="2" xfId="0" applyFont="true" applyBorder="true" applyAlignment="true" applyProtection="false">
      <alignment horizontal="left" vertical="center" textRotation="0" wrapText="fals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8" fillId="8" borderId="2" xfId="0" applyFont="true" applyBorder="true" applyAlignment="true" applyProtection="false">
      <alignment horizontal="left" vertical="center" textRotation="0" wrapText="fals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8" fillId="10" borderId="2" xfId="0" applyFont="true" applyBorder="true" applyAlignment="true" applyProtection="false">
      <alignment horizontal="left" vertical="center" textRotation="0" wrapText="false" indent="0" shrinkToFit="false"/>
      <protection locked="true" hidden="false"/>
    </xf>
    <xf numFmtId="164" fontId="9" fillId="11" borderId="1" xfId="0" applyFont="true" applyBorder="true" applyAlignment="true" applyProtection="false">
      <alignment horizontal="left" vertical="center" textRotation="0" wrapText="true" indent="0" shrinkToFit="false"/>
      <protection locked="true" hidden="false"/>
    </xf>
    <xf numFmtId="164" fontId="8" fillId="12" borderId="2" xfId="0" applyFont="true" applyBorder="true" applyAlignment="true" applyProtection="false">
      <alignment horizontal="left" vertical="center" textRotation="0" wrapText="false" indent="0" shrinkToFit="false"/>
      <protection locked="true" hidden="false"/>
    </xf>
    <xf numFmtId="164" fontId="9" fillId="13" borderId="1" xfId="0" applyFont="true" applyBorder="true" applyAlignment="true" applyProtection="false">
      <alignment horizontal="left" vertical="center" textRotation="0" wrapText="true" indent="0" shrinkToFit="false"/>
      <protection locked="true" hidden="false"/>
    </xf>
    <xf numFmtId="164" fontId="8" fillId="14" borderId="2" xfId="0" applyFont="true" applyBorder="true" applyAlignment="true" applyProtection="false">
      <alignment horizontal="left" vertical="center" textRotation="0" wrapText="false" indent="0" shrinkToFit="false"/>
      <protection locked="true" hidden="false"/>
    </xf>
    <xf numFmtId="164" fontId="9" fillId="15" borderId="1" xfId="0" applyFont="true" applyBorder="true" applyAlignment="true" applyProtection="false">
      <alignment horizontal="left" vertical="center" textRotation="0" wrapText="true" indent="0" shrinkToFit="false"/>
      <protection locked="true" hidden="false"/>
    </xf>
    <xf numFmtId="164" fontId="8" fillId="16" borderId="2" xfId="0" applyFont="true" applyBorder="true" applyAlignment="true" applyProtection="false">
      <alignment horizontal="left" vertical="center" textRotation="0" wrapText="false" indent="0" shrinkToFit="false"/>
      <protection locked="true" hidden="false"/>
    </xf>
    <xf numFmtId="164" fontId="9" fillId="17" borderId="1" xfId="0" applyFont="true" applyBorder="true" applyAlignment="true" applyProtection="false">
      <alignment horizontal="left" vertical="center" textRotation="0" wrapText="true" indent="0" shrinkToFit="false"/>
      <protection locked="true" hidden="false"/>
    </xf>
    <xf numFmtId="164" fontId="8" fillId="18" borderId="2" xfId="0" applyFont="true" applyBorder="true" applyAlignment="true" applyProtection="false">
      <alignment horizontal="left" vertical="center" textRotation="0" wrapText="false" indent="0" shrinkToFit="false"/>
      <protection locked="true" hidden="false"/>
    </xf>
    <xf numFmtId="164" fontId="9" fillId="19" borderId="1" xfId="0" applyFont="true" applyBorder="true" applyAlignment="true" applyProtection="false">
      <alignment horizontal="left" vertical="center" textRotation="0" wrapText="true" indent="0" shrinkToFit="false"/>
      <protection locked="true" hidden="false"/>
    </xf>
    <xf numFmtId="164" fontId="8" fillId="20" borderId="2" xfId="0" applyFont="true" applyBorder="true" applyAlignment="true" applyProtection="false">
      <alignment horizontal="left" vertical="center" textRotation="0" wrapText="false" indent="0" shrinkToFit="false"/>
      <protection locked="true" hidden="false"/>
    </xf>
    <xf numFmtId="164" fontId="8" fillId="21" borderId="2" xfId="0" applyFont="true" applyBorder="true" applyAlignment="true" applyProtection="false">
      <alignment horizontal="left" vertical="center" textRotation="0" wrapText="false" indent="0" shrinkToFit="false"/>
      <protection locked="true" hidden="false"/>
    </xf>
    <xf numFmtId="164" fontId="9" fillId="22" borderId="1" xfId="0" applyFont="true" applyBorder="true" applyAlignment="true" applyProtection="false">
      <alignment horizontal="left" vertical="center" textRotation="0" wrapText="true" indent="0" shrinkToFit="false"/>
      <protection locked="true" hidden="false"/>
    </xf>
    <xf numFmtId="164" fontId="7" fillId="23" borderId="1" xfId="0" applyFont="true" applyBorder="true" applyAlignment="true" applyProtection="false">
      <alignment horizontal="left" vertical="center" textRotation="0" wrapText="false" indent="0" shrinkToFit="false"/>
      <protection locked="true" hidden="false"/>
    </xf>
    <xf numFmtId="164" fontId="8" fillId="24" borderId="2" xfId="0" applyFont="true" applyBorder="true" applyAlignment="true" applyProtection="false">
      <alignment horizontal="left" vertical="center" textRotation="0" wrapText="false" indent="0" shrinkToFit="false"/>
      <protection locked="true" hidden="false"/>
    </xf>
    <xf numFmtId="164" fontId="9" fillId="25"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center" vertical="center" textRotation="0" wrapText="false" indent="0" shrinkToFit="false"/>
      <protection locked="true" hidden="false"/>
    </xf>
    <xf numFmtId="164" fontId="13" fillId="3" borderId="2" xfId="0" applyFont="true" applyBorder="true" applyAlignment="true" applyProtection="false">
      <alignment horizontal="center" vertical="center" textRotation="0" wrapText="false" indent="0" shrinkToFit="false"/>
      <protection locked="true" hidden="false"/>
    </xf>
    <xf numFmtId="164" fontId="14" fillId="3" borderId="2" xfId="0" applyFont="true" applyBorder="true" applyAlignment="true" applyProtection="false">
      <alignment horizontal="center" vertical="center" textRotation="0" wrapText="true" indent="0" shrinkToFit="false"/>
      <protection locked="true" hidden="false"/>
    </xf>
    <xf numFmtId="164" fontId="15" fillId="26" borderId="2" xfId="0" applyFont="true" applyBorder="true" applyAlignment="true" applyProtection="false">
      <alignment horizontal="left" vertical="center" textRotation="0" wrapText="false" indent="0" shrinkToFit="false"/>
      <protection locked="true" hidden="false"/>
    </xf>
    <xf numFmtId="164" fontId="15" fillId="27" borderId="2" xfId="0" applyFont="true" applyBorder="true" applyAlignment="true" applyProtection="false">
      <alignment horizontal="left" vertical="center" textRotation="0" wrapText="false" indent="0" shrinkToFit="false"/>
      <protection locked="true" hidden="false"/>
    </xf>
    <xf numFmtId="164" fontId="16" fillId="21" borderId="2" xfId="0" applyFont="true" applyBorder="true" applyAlignment="true" applyProtection="false">
      <alignment horizontal="left" vertical="center" textRotation="0" wrapText="false" indent="0" shrinkToFit="false"/>
      <protection locked="true" hidden="false"/>
    </xf>
    <xf numFmtId="164" fontId="17" fillId="22" borderId="2" xfId="0" applyFont="true" applyBorder="true" applyAlignment="true" applyProtection="false">
      <alignment horizontal="left" vertical="center" textRotation="0" wrapText="false" indent="0" shrinkToFit="false"/>
      <protection locked="true" hidden="false"/>
    </xf>
    <xf numFmtId="164" fontId="17" fillId="28" borderId="2" xfId="0" applyFont="true" applyBorder="true" applyAlignment="true" applyProtection="false">
      <alignment horizontal="left" vertical="center" textRotation="0" wrapText="false" indent="0" shrinkToFit="false"/>
      <protection locked="true" hidden="false"/>
    </xf>
    <xf numFmtId="164" fontId="9" fillId="22" borderId="2" xfId="0" applyFont="true" applyBorder="true" applyAlignment="true" applyProtection="false">
      <alignment horizontal="left" vertical="center" textRotation="0" wrapText="false" indent="0" shrinkToFit="false"/>
      <protection locked="true" hidden="false"/>
    </xf>
    <xf numFmtId="164" fontId="9" fillId="28" borderId="2" xfId="0" applyFont="true" applyBorder="true" applyAlignment="true" applyProtection="false">
      <alignment horizontal="left"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8" fillId="22" borderId="2"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4" fillId="3" borderId="2" xfId="0" applyFont="true" applyBorder="true" applyAlignment="true" applyProtection="false">
      <alignment horizontal="left" vertical="center" textRotation="0" wrapText="true" indent="0" shrinkToFit="false"/>
      <protection locked="true" hidden="false"/>
    </xf>
    <xf numFmtId="164" fontId="19" fillId="29"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8" fillId="21" borderId="1" xfId="0" applyFont="true" applyBorder="true" applyAlignment="true" applyProtection="false">
      <alignment horizontal="left" vertical="center" textRotation="0" wrapText="false" indent="0" shrinkToFit="false"/>
      <protection locked="true" hidden="false"/>
    </xf>
    <xf numFmtId="164" fontId="20" fillId="26" borderId="3" xfId="0" applyFont="true" applyBorder="true" applyAlignment="true" applyProtection="false">
      <alignment horizontal="center" vertical="center" textRotation="0" wrapText="false" indent="0" shrinkToFit="false"/>
      <protection locked="true" hidden="false"/>
    </xf>
    <xf numFmtId="164" fontId="21" fillId="29" borderId="2" xfId="0" applyFont="true" applyBorder="true" applyAlignment="true" applyProtection="false">
      <alignment horizontal="left" vertical="center" textRotation="0" wrapText="true" indent="0" shrinkToFit="false"/>
      <protection locked="true" hidden="false"/>
    </xf>
    <xf numFmtId="165" fontId="20" fillId="26" borderId="3" xfId="0" applyFont="true" applyBorder="true" applyAlignment="true" applyProtection="false">
      <alignment horizontal="center" vertical="center" textRotation="0" wrapText="false" indent="0" shrinkToFit="false"/>
      <protection locked="true" hidden="false"/>
    </xf>
    <xf numFmtId="164" fontId="22" fillId="30" borderId="2" xfId="0" applyFont="true" applyBorder="true" applyAlignment="true" applyProtection="false">
      <alignment horizontal="center" vertical="center" textRotation="0" wrapText="true" indent="0" shrinkToFit="false"/>
      <protection locked="true" hidden="false"/>
    </xf>
    <xf numFmtId="166" fontId="23" fillId="26" borderId="4" xfId="0" applyFont="true" applyBorder="true" applyAlignment="true" applyProtection="false">
      <alignment horizontal="center" vertical="center" textRotation="0" wrapText="false" indent="0" shrinkToFit="false"/>
      <protection locked="true" hidden="false"/>
    </xf>
    <xf numFmtId="167" fontId="24" fillId="31" borderId="4" xfId="0" applyFont="true" applyBorder="true" applyAlignment="true" applyProtection="false">
      <alignment horizontal="center" vertical="center" textRotation="0" wrapText="false" indent="0" shrinkToFit="false"/>
      <protection locked="true" hidden="false"/>
    </xf>
    <xf numFmtId="166" fontId="20" fillId="26" borderId="4" xfId="0" applyFont="true" applyBorder="true" applyAlignment="true" applyProtection="false">
      <alignment horizontal="center" vertical="center" textRotation="0" wrapText="false" indent="0" shrinkToFit="false"/>
      <protection locked="true" hidden="false"/>
    </xf>
    <xf numFmtId="164" fontId="21" fillId="29" borderId="2"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true" applyAlignment="true" applyProtection="false">
      <alignment horizontal="center" vertical="bottom" textRotation="0" wrapText="false" indent="0" shrinkToFit="false"/>
      <protection locked="true" hidden="false"/>
    </xf>
    <xf numFmtId="164" fontId="25" fillId="32" borderId="2" xfId="0" applyFont="true" applyBorder="true" applyAlignment="true" applyProtection="false">
      <alignment horizontal="center" vertical="center" textRotation="0" wrapText="true" indent="0" shrinkToFit="false"/>
      <protection locked="true" hidden="false"/>
    </xf>
    <xf numFmtId="164" fontId="26" fillId="33" borderId="2" xfId="0" applyFont="true" applyBorder="true" applyAlignment="true" applyProtection="false">
      <alignment horizontal="center" vertical="center" textRotation="0" wrapText="true" indent="0" shrinkToFit="false"/>
      <protection locked="true" hidden="false"/>
    </xf>
    <xf numFmtId="164" fontId="27" fillId="32" borderId="2" xfId="0" applyFont="true" applyBorder="true" applyAlignment="true" applyProtection="false">
      <alignment horizontal="center" vertical="center" textRotation="0" wrapText="true" indent="0" shrinkToFit="false"/>
      <protection locked="true" hidden="false"/>
    </xf>
    <xf numFmtId="168" fontId="15" fillId="21" borderId="2" xfId="0" applyFont="true" applyBorder="true" applyAlignment="true" applyProtection="false">
      <alignment horizontal="center" vertical="center" textRotation="0" wrapText="false" indent="0" shrinkToFit="false"/>
      <protection locked="true" hidden="false"/>
    </xf>
    <xf numFmtId="167" fontId="28" fillId="21" borderId="2" xfId="0" applyFont="true" applyBorder="true" applyAlignment="true" applyProtection="false">
      <alignment horizontal="right" vertical="center" textRotation="0" wrapText="false" indent="0" shrinkToFit="false"/>
      <protection locked="true" hidden="false"/>
    </xf>
    <xf numFmtId="167" fontId="29" fillId="21" borderId="2" xfId="0" applyFont="true" applyBorder="true" applyAlignment="true" applyProtection="false">
      <alignment horizontal="right" vertical="center" textRotation="0" wrapText="false" indent="0" shrinkToFit="false"/>
      <protection locked="true" hidden="false"/>
    </xf>
    <xf numFmtId="167" fontId="15" fillId="21" borderId="2" xfId="0" applyFont="true" applyBorder="true" applyAlignment="true" applyProtection="false">
      <alignment horizontal="right" vertical="center" textRotation="0" wrapText="false" indent="0" shrinkToFit="false"/>
      <protection locked="true" hidden="false"/>
    </xf>
    <xf numFmtId="169" fontId="15" fillId="21" borderId="2" xfId="0" applyFont="true" applyBorder="true" applyAlignment="true" applyProtection="false">
      <alignment horizontal="right" vertical="center" textRotation="0" wrapText="false" indent="0" shrinkToFit="false"/>
      <protection locked="true" hidden="false"/>
    </xf>
    <xf numFmtId="167" fontId="9" fillId="16" borderId="2" xfId="0" applyFont="true" applyBorder="true" applyAlignment="true" applyProtection="false">
      <alignment horizontal="right" vertical="center" textRotation="0" wrapText="false" indent="0" shrinkToFit="false"/>
      <protection locked="true" hidden="false"/>
    </xf>
    <xf numFmtId="167" fontId="30" fillId="31" borderId="2" xfId="0" applyFont="true" applyBorder="true" applyAlignment="true" applyProtection="false">
      <alignment horizontal="right" vertical="center" textRotation="0" wrapText="false" indent="0" shrinkToFit="false"/>
      <protection locked="true" hidden="false"/>
    </xf>
    <xf numFmtId="167" fontId="31" fillId="18" borderId="2" xfId="0" applyFont="true" applyBorder="true" applyAlignment="true" applyProtection="false">
      <alignment horizontal="right" vertical="center" textRotation="0" wrapText="false" indent="0" shrinkToFit="false"/>
      <protection locked="true" hidden="false"/>
    </xf>
    <xf numFmtId="167" fontId="31" fillId="20" borderId="2" xfId="0" applyFont="true" applyBorder="true" applyAlignment="true" applyProtection="false">
      <alignment horizontal="right" vertical="center" textRotation="0" wrapText="false" indent="0" shrinkToFit="false"/>
      <protection locked="true" hidden="false"/>
    </xf>
    <xf numFmtId="164" fontId="8" fillId="29" borderId="2" xfId="0" applyFont="true" applyBorder="true" applyAlignment="true" applyProtection="false">
      <alignment horizontal="center" vertical="center" textRotation="0" wrapText="false" indent="0" shrinkToFit="false"/>
      <protection locked="true" hidden="false"/>
    </xf>
    <xf numFmtId="167" fontId="8" fillId="16" borderId="2" xfId="0" applyFont="true" applyBorder="true" applyAlignment="true" applyProtection="false">
      <alignment horizontal="right" vertical="center"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6" fillId="0" borderId="5" xfId="0" applyFont="true" applyBorder="true" applyAlignment="true" applyProtection="false">
      <alignment horizontal="general" vertical="bottom" textRotation="0" wrapText="false" indent="0" shrinkToFit="false"/>
      <protection locked="true" hidden="false"/>
    </xf>
    <xf numFmtId="164" fontId="22" fillId="3" borderId="1" xfId="0" applyFont="true" applyBorder="true" applyAlignment="true" applyProtection="false">
      <alignment horizontal="center" vertical="center" textRotation="0" wrapText="true" indent="0" shrinkToFit="false"/>
      <protection locked="true" hidden="false"/>
    </xf>
    <xf numFmtId="167" fontId="32" fillId="18" borderId="1" xfId="0" applyFont="true" applyBorder="true" applyAlignment="true" applyProtection="false">
      <alignment horizontal="center" vertical="center" textRotation="0" wrapText="false" indent="0" shrinkToFit="false"/>
      <protection locked="true" hidden="false"/>
    </xf>
    <xf numFmtId="167" fontId="24" fillId="31" borderId="1" xfId="0" applyFont="true" applyBorder="true" applyAlignment="true" applyProtection="false">
      <alignment horizontal="center" vertical="center" textRotation="0" wrapText="false" indent="0" shrinkToFit="false"/>
      <protection locked="true" hidden="false"/>
    </xf>
    <xf numFmtId="167" fontId="23" fillId="34" borderId="1" xfId="0" applyFont="true" applyBorder="true" applyAlignment="true" applyProtection="false">
      <alignment horizontal="center" vertical="center" textRotation="0" wrapText="false" indent="0" shrinkToFit="false"/>
      <protection locked="true" hidden="false"/>
    </xf>
    <xf numFmtId="167" fontId="33" fillId="24" borderId="1" xfId="0" applyFont="true" applyBorder="true" applyAlignment="true" applyProtection="false">
      <alignment horizontal="center" vertical="center" textRotation="0" wrapText="false" indent="0" shrinkToFit="false"/>
      <protection locked="true" hidden="false"/>
    </xf>
    <xf numFmtId="167" fontId="34" fillId="35" borderId="1" xfId="0" applyFont="true" applyBorder="true" applyAlignment="true" applyProtection="false">
      <alignment horizontal="center" vertical="center" textRotation="0" wrapText="false" indent="0" shrinkToFit="false"/>
      <protection locked="true" hidden="false"/>
    </xf>
    <xf numFmtId="167" fontId="32" fillId="20" borderId="1" xfId="0" applyFont="true" applyBorder="true" applyAlignment="true" applyProtection="false">
      <alignment horizontal="center" vertical="center" textRotation="0" wrapText="false" indent="0" shrinkToFit="false"/>
      <protection locked="true" hidden="false"/>
    </xf>
    <xf numFmtId="164" fontId="13" fillId="2" borderId="2" xfId="0" applyFont="true" applyBorder="true" applyAlignment="true" applyProtection="false">
      <alignment horizontal="center" vertical="center" textRotation="0" wrapText="true" indent="0" shrinkToFit="false"/>
      <protection locked="true" hidden="false"/>
    </xf>
    <xf numFmtId="164" fontId="35" fillId="28" borderId="2" xfId="0" applyFont="true" applyBorder="true" applyAlignment="true" applyProtection="false">
      <alignment horizontal="center" vertical="center" textRotation="0" wrapText="true" indent="0" shrinkToFit="false"/>
      <protection locked="true" hidden="false"/>
    </xf>
    <xf numFmtId="168" fontId="20" fillId="21" borderId="2" xfId="0" applyFont="true" applyBorder="true" applyAlignment="true" applyProtection="false">
      <alignment horizontal="center" vertical="center" textRotation="0" wrapText="false" indent="0" shrinkToFit="false"/>
      <protection locked="true" hidden="false"/>
    </xf>
    <xf numFmtId="168" fontId="36" fillId="36" borderId="2" xfId="0" applyFont="true" applyBorder="true" applyAlignment="true" applyProtection="false">
      <alignment horizontal="center" vertical="center" textRotation="0" wrapText="false" indent="0" shrinkToFit="false"/>
      <protection locked="true" hidden="false"/>
    </xf>
    <xf numFmtId="170" fontId="37" fillId="16" borderId="2" xfId="0" applyFont="true" applyBorder="true" applyAlignment="true" applyProtection="false">
      <alignment horizontal="center" vertical="center" textRotation="0" wrapText="false" indent="0" shrinkToFit="false"/>
      <protection locked="true" hidden="false"/>
    </xf>
    <xf numFmtId="164" fontId="38" fillId="29" borderId="2" xfId="0" applyFont="true" applyBorder="true" applyAlignment="true" applyProtection="false">
      <alignment horizontal="center" vertical="center" textRotation="0" wrapText="false" indent="0" shrinkToFit="false"/>
      <protection locked="true" hidden="false"/>
    </xf>
    <xf numFmtId="168" fontId="39" fillId="33" borderId="2" xfId="0" applyFont="true" applyBorder="true" applyAlignment="true" applyProtection="false">
      <alignment horizontal="center" vertical="center" textRotation="0" wrapText="false" indent="0" shrinkToFit="false"/>
      <protection locked="true" hidden="false"/>
    </xf>
    <xf numFmtId="167" fontId="15" fillId="20" borderId="2" xfId="0" applyFont="true" applyBorder="true" applyAlignment="true" applyProtection="false">
      <alignment horizontal="right" vertical="center" textRotation="0" wrapText="false" indent="0" shrinkToFit="false"/>
      <protection locked="true" hidden="false"/>
    </xf>
    <xf numFmtId="164" fontId="14" fillId="3" borderId="1" xfId="0" applyFont="true" applyBorder="true" applyAlignment="true" applyProtection="false">
      <alignment horizontal="right" vertical="center"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40" fillId="31" borderId="2" xfId="0" applyFont="true" applyBorder="true" applyAlignment="true" applyProtection="false">
      <alignment horizontal="center" vertical="center" textRotation="0" wrapText="false" indent="0" shrinkToFit="false"/>
      <protection locked="true" hidden="false"/>
    </xf>
    <xf numFmtId="164" fontId="41" fillId="2" borderId="1"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4" fontId="14" fillId="37" borderId="2" xfId="0" applyFont="true" applyBorder="true" applyAlignment="true" applyProtection="false">
      <alignment horizontal="center" vertical="center" textRotation="0" wrapText="true" indent="0" shrinkToFit="false"/>
      <protection locked="true" hidden="false"/>
    </xf>
    <xf numFmtId="168" fontId="15" fillId="36" borderId="2" xfId="0" applyFont="true" applyBorder="true" applyAlignment="true" applyProtection="false">
      <alignment horizontal="center" vertical="center" textRotation="0" wrapText="false" indent="0" shrinkToFit="false"/>
      <protection locked="true" hidden="false"/>
    </xf>
    <xf numFmtId="164" fontId="15" fillId="36" borderId="2" xfId="0" applyFont="true" applyBorder="true" applyAlignment="true" applyProtection="false">
      <alignment horizontal="center" vertical="center" textRotation="0" wrapText="false" indent="0" shrinkToFit="false"/>
      <protection locked="true" hidden="false"/>
    </xf>
    <xf numFmtId="164" fontId="15" fillId="36" borderId="2" xfId="0" applyFont="true" applyBorder="true" applyAlignment="true" applyProtection="false">
      <alignment horizontal="left" vertical="center" textRotation="0" wrapText="false" indent="0" shrinkToFit="false"/>
      <protection locked="true" hidden="false"/>
    </xf>
    <xf numFmtId="164" fontId="15" fillId="36" borderId="2" xfId="0" applyFont="true" applyBorder="true" applyAlignment="true" applyProtection="false">
      <alignment horizontal="left" vertical="center" textRotation="0" wrapText="true" indent="0" shrinkToFit="false"/>
      <protection locked="true" hidden="false"/>
    </xf>
    <xf numFmtId="167" fontId="15" fillId="36" borderId="2" xfId="0" applyFont="true" applyBorder="true" applyAlignment="true" applyProtection="false">
      <alignment horizontal="right" vertical="center" textRotation="0" wrapText="false" indent="0" shrinkToFit="false"/>
      <protection locked="true" hidden="false"/>
    </xf>
    <xf numFmtId="167" fontId="42" fillId="31" borderId="2" xfId="0" applyFont="true" applyBorder="true" applyAlignment="true" applyProtection="false">
      <alignment horizontal="right" vertical="center" textRotation="0" wrapText="false" indent="0" shrinkToFit="false"/>
      <protection locked="true" hidden="false"/>
    </xf>
    <xf numFmtId="167" fontId="43" fillId="38" borderId="2" xfId="0" applyFont="true" applyBorder="true" applyAlignment="true" applyProtection="false">
      <alignment horizontal="right" vertical="center" textRotation="0" wrapText="false" indent="0" shrinkToFit="false"/>
      <protection locked="true" hidden="false"/>
    </xf>
    <xf numFmtId="168" fontId="15" fillId="39" borderId="2" xfId="0" applyFont="true" applyBorder="true" applyAlignment="true" applyProtection="false">
      <alignment horizontal="center" vertical="center" textRotation="0" wrapText="false" indent="0" shrinkToFit="false"/>
      <protection locked="true" hidden="false"/>
    </xf>
    <xf numFmtId="164" fontId="15" fillId="39" borderId="2" xfId="0" applyFont="true" applyBorder="true" applyAlignment="true" applyProtection="false">
      <alignment horizontal="center" vertical="center" textRotation="0" wrapText="false" indent="0" shrinkToFit="false"/>
      <protection locked="true" hidden="false"/>
    </xf>
    <xf numFmtId="164" fontId="15" fillId="39" borderId="2" xfId="0" applyFont="true" applyBorder="true" applyAlignment="true" applyProtection="false">
      <alignment horizontal="left" vertical="center" textRotation="0" wrapText="false" indent="0" shrinkToFit="false"/>
      <protection locked="true" hidden="false"/>
    </xf>
    <xf numFmtId="164" fontId="15" fillId="39" borderId="2" xfId="0" applyFont="true" applyBorder="true" applyAlignment="true" applyProtection="false">
      <alignment horizontal="left" vertical="center" textRotation="0" wrapText="true" indent="0" shrinkToFit="false"/>
      <protection locked="true" hidden="false"/>
    </xf>
    <xf numFmtId="167" fontId="15" fillId="39" borderId="2" xfId="0" applyFont="true" applyBorder="true" applyAlignment="true" applyProtection="false">
      <alignment horizontal="right" vertical="center" textRotation="0" wrapText="false" indent="0" shrinkToFit="false"/>
      <protection locked="true" hidden="false"/>
    </xf>
    <xf numFmtId="167" fontId="42" fillId="40" borderId="2" xfId="0" applyFont="true" applyBorder="true" applyAlignment="true" applyProtection="false">
      <alignment horizontal="right" vertical="center" textRotation="0" wrapText="false" indent="0" shrinkToFit="false"/>
      <protection locked="true" hidden="false"/>
    </xf>
    <xf numFmtId="167" fontId="43" fillId="41" borderId="2" xfId="0" applyFont="true" applyBorder="true" applyAlignment="true" applyProtection="false">
      <alignment horizontal="right" vertical="center" textRotation="0" wrapText="false" indent="0" shrinkToFit="false"/>
      <protection locked="true" hidden="false"/>
    </xf>
    <xf numFmtId="164" fontId="14" fillId="23" borderId="1" xfId="0" applyFont="true" applyBorder="true" applyAlignment="true" applyProtection="false">
      <alignment horizontal="center" vertical="center" textRotation="0" wrapText="true" indent="0" shrinkToFit="false"/>
      <protection locked="true" hidden="false"/>
    </xf>
    <xf numFmtId="164" fontId="8" fillId="36" borderId="2" xfId="0" applyFont="true" applyBorder="true" applyAlignment="true" applyProtection="false">
      <alignment horizontal="left" vertical="center" textRotation="0" wrapText="true" indent="0" shrinkToFit="false"/>
      <protection locked="true" hidden="false"/>
    </xf>
    <xf numFmtId="167" fontId="42" fillId="31" borderId="1" xfId="0" applyFont="true" applyBorder="true" applyAlignment="true" applyProtection="false">
      <alignment horizontal="right" vertical="center" textRotation="0" wrapText="false" indent="0" shrinkToFit="false"/>
      <protection locked="true" hidden="false"/>
    </xf>
    <xf numFmtId="164" fontId="10" fillId="0" borderId="1" xfId="0" applyFont="true" applyBorder="true" applyAlignment="true" applyProtection="false">
      <alignment horizontal="left" vertical="bottom" textRotation="0" wrapText="false" indent="0" shrinkToFit="false"/>
      <protection locked="true" hidden="false"/>
    </xf>
    <xf numFmtId="164" fontId="44" fillId="2" borderId="1" xfId="0" applyFont="true" applyBorder="true" applyAlignment="true" applyProtection="false">
      <alignment horizontal="center" vertical="center" textRotation="0" wrapText="false" indent="0" shrinkToFit="false"/>
      <protection locked="true" hidden="false"/>
    </xf>
    <xf numFmtId="164" fontId="45" fillId="0" borderId="0" xfId="0" applyFont="true" applyBorder="true" applyAlignment="true" applyProtection="false">
      <alignment horizontal="center" vertical="center" textRotation="0" wrapText="false" indent="0" shrinkToFit="false"/>
      <protection locked="true" hidden="false"/>
    </xf>
    <xf numFmtId="164" fontId="46" fillId="0" borderId="0" xfId="0" applyFont="true" applyBorder="false" applyAlignment="true" applyProtection="false">
      <alignment horizontal="center" vertical="bottom" textRotation="0" wrapText="false" indent="0" shrinkToFit="false"/>
      <protection locked="true" hidden="false"/>
    </xf>
    <xf numFmtId="164" fontId="13" fillId="3" borderId="1" xfId="0" applyFont="true" applyBorder="true" applyAlignment="true" applyProtection="false">
      <alignment horizontal="right" vertical="center" textRotation="0" wrapText="true" indent="0" shrinkToFit="false"/>
      <protection locked="true" hidden="false"/>
    </xf>
    <xf numFmtId="164" fontId="47" fillId="26" borderId="4"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right" vertical="center" textRotation="0" wrapText="true" indent="0" shrinkToFit="false"/>
      <protection locked="true" hidden="false"/>
    </xf>
    <xf numFmtId="167" fontId="48" fillId="31" borderId="1" xfId="0" applyFont="true" applyBorder="true" applyAlignment="true" applyProtection="false">
      <alignment horizontal="center" vertical="center" textRotation="0" wrapText="false" indent="0" shrinkToFit="false"/>
      <protection locked="true" hidden="false"/>
    </xf>
    <xf numFmtId="164" fontId="22" fillId="3" borderId="2" xfId="0" applyFont="true" applyBorder="true" applyAlignment="true" applyProtection="false">
      <alignment horizontal="right" vertical="center" textRotation="0" wrapText="true" indent="0" shrinkToFit="false"/>
      <protection locked="true" hidden="false"/>
    </xf>
    <xf numFmtId="164" fontId="33" fillId="36" borderId="2" xfId="0" applyFont="true" applyBorder="true" applyAlignment="true" applyProtection="false">
      <alignment horizontal="center" vertical="center"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13" fillId="3" borderId="2" xfId="0" applyFont="true" applyBorder="true" applyAlignment="true" applyProtection="false">
      <alignment horizontal="right" vertical="center" textRotation="0" wrapText="false" indent="0" shrinkToFit="false"/>
      <protection locked="true" hidden="false"/>
    </xf>
    <xf numFmtId="164" fontId="20" fillId="27" borderId="4" xfId="0" applyFont="true" applyBorder="true" applyAlignment="true" applyProtection="false">
      <alignment horizontal="center" vertical="center" textRotation="0" wrapText="false" indent="0" shrinkToFit="false"/>
      <protection locked="true" hidden="false"/>
    </xf>
    <xf numFmtId="164" fontId="45" fillId="29" borderId="2" xfId="0" applyFont="true" applyBorder="true" applyAlignment="true" applyProtection="false">
      <alignment horizontal="left" vertical="center" textRotation="0" wrapText="false" indent="0" shrinkToFit="false"/>
      <protection locked="true" hidden="false"/>
    </xf>
    <xf numFmtId="164" fontId="14" fillId="30" borderId="1" xfId="0" applyFont="true" applyBorder="true" applyAlignment="true" applyProtection="false">
      <alignment horizontal="center" vertical="center" textRotation="0" wrapText="true" indent="0" shrinkToFit="false"/>
      <protection locked="true" hidden="false"/>
    </xf>
    <xf numFmtId="164" fontId="31" fillId="18" borderId="1" xfId="0" applyFont="true" applyBorder="true" applyAlignment="true" applyProtection="false">
      <alignment horizontal="left" vertical="center" textRotation="0" wrapText="false" indent="0" shrinkToFit="false"/>
      <protection locked="true" hidden="false"/>
    </xf>
    <xf numFmtId="167" fontId="50" fillId="18" borderId="1" xfId="0" applyFont="true" applyBorder="true" applyAlignment="true" applyProtection="false">
      <alignment horizontal="right" vertical="center" textRotation="0" wrapText="false" indent="0" shrinkToFit="false"/>
      <protection locked="true" hidden="false"/>
    </xf>
    <xf numFmtId="164" fontId="16" fillId="34" borderId="1" xfId="0" applyFont="true" applyBorder="true" applyAlignment="true" applyProtection="false">
      <alignment horizontal="left" vertical="center" textRotation="0" wrapText="false" indent="0" shrinkToFit="false"/>
      <protection locked="true" hidden="false"/>
    </xf>
    <xf numFmtId="167" fontId="47" fillId="34" borderId="1" xfId="0" applyFont="true" applyBorder="true" applyAlignment="true" applyProtection="false">
      <alignment horizontal="right" vertical="center" textRotation="0" wrapText="false" indent="0" shrinkToFit="false"/>
      <protection locked="true" hidden="false"/>
    </xf>
    <xf numFmtId="164" fontId="42" fillId="24" borderId="1" xfId="0" applyFont="true" applyBorder="true" applyAlignment="true" applyProtection="false">
      <alignment horizontal="left" vertical="center" textRotation="0" wrapText="false" indent="0" shrinkToFit="false"/>
      <protection locked="true" hidden="false"/>
    </xf>
    <xf numFmtId="167" fontId="51" fillId="24" borderId="1" xfId="0" applyFont="true" applyBorder="true" applyAlignment="true" applyProtection="false">
      <alignment horizontal="right" vertical="center" textRotation="0" wrapText="false" indent="0" shrinkToFit="false"/>
      <protection locked="true" hidden="false"/>
    </xf>
    <xf numFmtId="164" fontId="49" fillId="22" borderId="2" xfId="0" applyFont="true" applyBorder="true" applyAlignment="true" applyProtection="false">
      <alignment horizontal="left" vertical="center" textRotation="0" wrapText="false" indent="0" shrinkToFit="false"/>
      <protection locked="true" hidden="false"/>
    </xf>
    <xf numFmtId="164" fontId="52" fillId="35" borderId="1" xfId="0" applyFont="true" applyBorder="true" applyAlignment="true" applyProtection="false">
      <alignment horizontal="left" vertical="center" textRotation="0" wrapText="false" indent="0" shrinkToFit="false"/>
      <protection locked="true" hidden="false"/>
    </xf>
    <xf numFmtId="167" fontId="53" fillId="35" borderId="1" xfId="0" applyFont="true" applyBorder="true" applyAlignment="true" applyProtection="false">
      <alignment horizontal="right" vertical="center" textRotation="0" wrapText="false" indent="0" shrinkToFit="false"/>
      <protection locked="true" hidden="false"/>
    </xf>
    <xf numFmtId="164" fontId="30" fillId="27" borderId="1" xfId="0" applyFont="true" applyBorder="true" applyAlignment="true" applyProtection="false">
      <alignment horizontal="left" vertical="center" textRotation="0" wrapText="false" indent="0" shrinkToFit="false"/>
      <protection locked="true" hidden="false"/>
    </xf>
    <xf numFmtId="167" fontId="54" fillId="27" borderId="1" xfId="0" applyFont="true" applyBorder="true" applyAlignment="true" applyProtection="false">
      <alignment horizontal="right" vertical="center" textRotation="0" wrapText="false" indent="0" shrinkToFit="false"/>
      <protection locked="true" hidden="false"/>
    </xf>
    <xf numFmtId="164" fontId="55" fillId="16" borderId="1" xfId="0" applyFont="true" applyBorder="true" applyAlignment="true" applyProtection="false">
      <alignment horizontal="left" vertical="center" textRotation="0" wrapText="false" indent="0" shrinkToFit="false"/>
      <protection locked="true" hidden="false"/>
    </xf>
    <xf numFmtId="167" fontId="56" fillId="16" borderId="1" xfId="0" applyFont="true" applyBorder="true" applyAlignment="true" applyProtection="false">
      <alignment horizontal="right" vertical="center" textRotation="0" wrapText="false" indent="0" shrinkToFit="false"/>
      <protection locked="true" hidden="false"/>
    </xf>
    <xf numFmtId="164" fontId="31" fillId="42" borderId="1" xfId="0" applyFont="true" applyBorder="true" applyAlignment="true" applyProtection="false">
      <alignment horizontal="left" vertical="center" textRotation="0" wrapText="false" indent="0" shrinkToFit="false"/>
      <protection locked="true" hidden="false"/>
    </xf>
    <xf numFmtId="167" fontId="50" fillId="42" borderId="1" xfId="0" applyFont="true" applyBorder="true" applyAlignment="true" applyProtection="false">
      <alignment horizontal="right" vertical="center"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71" fontId="0" fillId="0" borderId="0" xfId="0" applyFont="false" applyBorder="true" applyAlignment="true" applyProtection="false">
      <alignment horizontal="general" vertical="bottom" textRotation="0" wrapText="fals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22" fillId="3" borderId="2" xfId="0" applyFont="true" applyBorder="true" applyAlignment="true" applyProtection="false">
      <alignment horizontal="center" vertical="center" textRotation="0" wrapText="true" indent="0" shrinkToFit="false"/>
      <protection locked="true" hidden="false"/>
    </xf>
    <xf numFmtId="164" fontId="57" fillId="29" borderId="2" xfId="0" applyFont="true" applyBorder="true" applyAlignment="true" applyProtection="false">
      <alignment horizontal="left" vertical="center" textRotation="0" wrapText="false" indent="0" shrinkToFit="false"/>
      <protection locked="true" hidden="false"/>
    </xf>
    <xf numFmtId="167" fontId="58" fillId="29" borderId="2" xfId="0" applyFont="true" applyBorder="true" applyAlignment="true" applyProtection="false">
      <alignment horizontal="right" vertical="center" textRotation="0" wrapText="false" indent="0" shrinkToFit="false"/>
      <protection locked="true" hidden="false"/>
    </xf>
    <xf numFmtId="167" fontId="59" fillId="29" borderId="2" xfId="0" applyFont="true" applyBorder="true" applyAlignment="true" applyProtection="false">
      <alignment horizontal="right" vertical="center" textRotation="0" wrapText="false" indent="0" shrinkToFit="false"/>
      <protection locked="true" hidden="false"/>
    </xf>
    <xf numFmtId="171" fontId="60" fillId="29" borderId="2" xfId="0" applyFont="true" applyBorder="true" applyAlignment="true" applyProtection="false">
      <alignment horizontal="center" vertical="center" textRotation="0" wrapText="false" indent="0" shrinkToFit="false"/>
      <protection locked="true" hidden="false"/>
    </xf>
    <xf numFmtId="164" fontId="57" fillId="22" borderId="2" xfId="0" applyFont="true" applyBorder="true" applyAlignment="true" applyProtection="false">
      <alignment horizontal="left" vertical="center" textRotation="0" wrapText="false" indent="0" shrinkToFit="false"/>
      <protection locked="true" hidden="false"/>
    </xf>
    <xf numFmtId="167" fontId="58" fillId="22" borderId="2" xfId="0" applyFont="true" applyBorder="true" applyAlignment="true" applyProtection="false">
      <alignment horizontal="right" vertical="center" textRotation="0" wrapText="false" indent="0" shrinkToFit="false"/>
      <protection locked="true" hidden="false"/>
    </xf>
    <xf numFmtId="167" fontId="59" fillId="22" borderId="2" xfId="0" applyFont="true" applyBorder="true" applyAlignment="true" applyProtection="false">
      <alignment horizontal="right" vertical="center" textRotation="0" wrapText="false" indent="0" shrinkToFit="false"/>
      <protection locked="true" hidden="false"/>
    </xf>
    <xf numFmtId="171" fontId="60" fillId="22"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fill>
        <patternFill patternType="solid">
          <fgColor rgb="FF2471A3"/>
          <bgColor rgb="FF000000"/>
        </patternFill>
      </fill>
    </dxf>
    <dxf>
      <fill>
        <patternFill patternType="solid">
          <fgColor rgb="FF2E75B6"/>
          <bgColor rgb="FF000000"/>
        </patternFill>
      </fill>
    </dxf>
    <dxf>
      <fill>
        <patternFill patternType="solid">
          <fgColor rgb="FFEBF5FB"/>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F2F3F4"/>
          <bgColor rgb="FF000000"/>
        </patternFill>
      </fill>
    </dxf>
    <dxf>
      <fill>
        <patternFill patternType="solid">
          <fgColor rgb="FF008000"/>
          <bgColor rgb="FF000000"/>
        </patternFill>
      </fill>
    </dxf>
    <dxf>
      <fill>
        <patternFill patternType="solid">
          <fgColor rgb="FF555555"/>
          <bgColor rgb="FF000000"/>
        </patternFill>
      </fill>
    </dxf>
    <dxf>
      <fill>
        <patternFill patternType="solid">
          <fgColor rgb="FFC0392B"/>
          <bgColor rgb="FF000000"/>
        </patternFill>
      </fill>
    </dxf>
    <dxf>
      <fill>
        <patternFill patternType="solid">
          <fgColor rgb="FFFEF9E7"/>
          <bgColor rgb="FF000000"/>
        </patternFill>
      </fill>
    </dxf>
    <dxf>
      <fill>
        <patternFill patternType="solid">
          <fgColor rgb="FF000000"/>
          <bgColor rgb="FF000000"/>
        </patternFill>
      </fill>
    </dxf>
    <dxf>
      <fill>
        <patternFill patternType="solid">
          <fgColor rgb="FFD5F5E3"/>
          <bgColor rgb="FF000000"/>
        </patternFill>
      </fill>
    </dxf>
    <dxf>
      <fill>
        <patternFill patternType="solid">
          <fgColor rgb="FFFDEBD0"/>
          <bgColor rgb="FF000000"/>
        </patternFill>
      </fill>
    </dxf>
    <dxf>
      <fill>
        <patternFill patternType="solid">
          <fgColor rgb="FFFADBD8"/>
          <bgColor rgb="FF000000"/>
        </patternFill>
      </fill>
    </dxf>
    <dxf>
      <fill>
        <patternFill patternType="solid">
          <fgColor rgb="FFF8F9FA"/>
          <bgColor rgb="FF000000"/>
        </patternFill>
      </fill>
    </dxf>
    <dxf>
      <font>
        <name val="Aptos"/>
        <charset val="1"/>
        <family val="0"/>
        <b val="1"/>
        <color rgb="FF008000"/>
      </font>
      <fill>
        <patternFill>
          <bgColor rgb="FFD5F5E3"/>
        </patternFill>
      </fill>
    </dxf>
    <dxf>
      <font>
        <name val="Aptos"/>
        <charset val="1"/>
        <family val="0"/>
        <b val="1"/>
        <color rgb="FFE67E22"/>
      </font>
      <fill>
        <patternFill>
          <bgColor rgb="FFFDEBD0"/>
        </patternFill>
      </fill>
    </dxf>
    <dxf>
      <font>
        <name val="Aptos"/>
        <charset val="1"/>
        <family val="0"/>
        <b val="1"/>
        <color rgb="FFC0392B"/>
      </font>
      <fill>
        <patternFill>
          <bgColor rgb="FFFADBD8"/>
        </patternFill>
      </fill>
    </dxf>
    <dxf>
      <font>
        <name val="Aptos"/>
        <charset val="1"/>
        <family val="0"/>
        <b val="1"/>
        <color rgb="FFC0392B"/>
      </font>
      <fill>
        <patternFill>
          <bgColor rgb="FFFFCCCC"/>
        </patternFill>
      </fill>
    </dxf>
    <dxf>
      <fill>
        <patternFill patternType="solid">
          <fgColor rgb="FF6C3483"/>
          <bgColor rgb="FF000000"/>
        </patternFill>
      </fill>
    </dxf>
    <dxf>
      <fill>
        <patternFill patternType="solid">
          <fgColor rgb="FFF4ECF7"/>
          <bgColor rgb="FF000000"/>
        </patternFill>
      </fill>
    </dxf>
    <dxf>
      <fill>
        <patternFill patternType="solid">
          <fgColor rgb="FFF9F5FC"/>
          <bgColor rgb="FF000000"/>
        </patternFill>
      </fill>
    </dxf>
    <dxf>
      <fill>
        <patternFill patternType="solid">
          <bgColor rgb="FF000000"/>
        </patternFill>
      </fill>
    </dxf>
    <dxf>
      <fill>
        <patternFill patternType="solid">
          <fgColor rgb="FFE9F7EF"/>
          <bgColor rgb="FF000000"/>
        </patternFill>
      </fill>
    </dxf>
    <dxf>
      <fill>
        <patternFill patternType="solid">
          <fgColor rgb="FFE8DCF5"/>
          <bgColor rgb="FF000000"/>
        </patternFill>
      </fill>
    </dxf>
    <dxf>
      <fill>
        <patternFill patternType="solid">
          <fgColor rgb="FFF0EAF8"/>
          <bgColor rgb="FF000000"/>
        </patternFill>
      </fill>
    </dxf>
    <dxf>
      <font>
        <name val="Aptos"/>
        <charset val="1"/>
        <family val="0"/>
        <b val="1"/>
        <color rgb="FF1A1A1A"/>
      </font>
      <fill>
        <patternFill>
          <bgColor rgb="FFFFF176"/>
        </patternFill>
      </fill>
    </dxf>
  </dxfs>
  <colors>
    <indexedColors>
      <rgbColor rgb="FF000000"/>
      <rgbColor rgb="FFFFFFFF"/>
      <rgbColor rgb="FFFFF5F5"/>
      <rgbColor rgb="FFF0F4F8"/>
      <rgbColor rgb="FF0000FF"/>
      <rgbColor rgb="FFFDEBD0"/>
      <rgbColor rgb="FFF5F3FF"/>
      <rgbColor rgb="FFEBF5FB"/>
      <rgbColor rgb="FFFFF7ED"/>
      <rgbColor rgb="FF008000"/>
      <rgbColor rgb="FFFFFDE7"/>
      <rgbColor rgb="FF555555"/>
      <rgbColor rgb="FFF9F5FC"/>
      <rgbColor rgb="FF3D5A80"/>
      <rgbColor rgb="FFCCCCCC"/>
      <rgbColor rgb="FF888888"/>
      <rgbColor rgb="FFEDE9FE"/>
      <rgbColor rgb="FF6C3483"/>
      <rgbColor rgb="FFFEF9C3"/>
      <rgbColor rgb="FFD5F5E3"/>
      <rgbColor rgb="FF4A235A"/>
      <rgbColor rgb="FFFEE2E2"/>
      <rgbColor rgb="FF2471A3"/>
      <rgbColor rgb="FFE8DAEF"/>
      <rgbColor rgb="FFFFFDF0"/>
      <rgbColor rgb="FFF2F3F4"/>
      <rgbColor rgb="FFFFEDD5"/>
      <rgbColor rgb="FFECFDF5"/>
      <rgbColor rgb="FFF9F5FF"/>
      <rgbColor rgb="FFFEF9E7"/>
      <rgbColor rgb="FFF4ECF7"/>
      <rgbColor rgb="FFFFFBF5"/>
      <rgbColor rgb="FFEFF6FF"/>
      <rgbColor rgb="FFE8F8F5"/>
      <rgbColor rgb="FFD1FAE5"/>
      <rgbColor rgb="FFFFF176"/>
      <rgbColor rgb="FFDBEAFE"/>
      <rgbColor rgb="FFFADBD8"/>
      <rgbColor rgb="FFE8DCF5"/>
      <rgbColor rgb="FFFFCCCC"/>
      <rgbColor rgb="FF2E75B6"/>
      <rgbColor rgb="FFEAF2FA"/>
      <rgbColor rgb="FFE9F7EF"/>
      <rgbColor rgb="FFFAE5D3"/>
      <rgbColor rgb="FFF9EBEA"/>
      <rgbColor rgb="FFE67E22"/>
      <rgbColor rgb="FF666666"/>
      <rgbColor rgb="FFAAAAAA"/>
      <rgbColor rgb="FFF8F9FA"/>
      <rgbColor rgb="FFF0EAF8"/>
      <rgbColor rgb="FFFEFCE8"/>
      <rgbColor rgb="FF1C1C1C"/>
      <rgbColor rgb="FFA04000"/>
      <rgbColor rgb="FFC0392B"/>
      <rgbColor rgb="FF1F4E79"/>
      <rgbColor rgb="FF3D3D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5"/>
    <col collapsed="false" customWidth="true" hidden="false" outlineLevel="0" max="4" min="4" style="1" width="55"/>
    <col collapsed="false" customWidth="true" hidden="false" outlineLevel="0" max="8" min="5" style="1" width="4"/>
  </cols>
  <sheetData>
    <row r="1" customFormat="false" ht="42" hidden="false" customHeight="true" outlineLevel="0" collapsed="false">
      <c r="A1" s="2" t="s">
        <v>0</v>
      </c>
      <c r="B1" s="2"/>
      <c r="C1" s="2"/>
      <c r="D1" s="2"/>
      <c r="E1" s="2"/>
      <c r="F1" s="2"/>
      <c r="G1" s="2"/>
      <c r="H1" s="2"/>
    </row>
    <row r="2" customFormat="false" ht="21.75" hidden="false" customHeight="true" outlineLevel="0" collapsed="false">
      <c r="A2" s="3" t="s">
        <v>1</v>
      </c>
      <c r="B2" s="3"/>
      <c r="C2" s="3"/>
      <c r="D2" s="3"/>
      <c r="E2" s="3"/>
      <c r="F2" s="3"/>
      <c r="G2" s="3"/>
      <c r="H2" s="3"/>
    </row>
    <row r="3" customFormat="false" ht="15" hidden="false" customHeight="true" outlineLevel="0" collapsed="false">
      <c r="A3" s="4"/>
      <c r="B3" s="4"/>
      <c r="C3" s="4"/>
      <c r="D3" s="4"/>
      <c r="E3" s="4"/>
      <c r="F3" s="4"/>
      <c r="G3" s="4"/>
      <c r="H3" s="4"/>
    </row>
    <row r="4" customFormat="false" ht="27.75" hidden="false" customHeight="true" outlineLevel="0" collapsed="false">
      <c r="A4" s="5" t="s">
        <v>2</v>
      </c>
      <c r="B4" s="5"/>
      <c r="C4" s="5"/>
      <c r="D4" s="5"/>
      <c r="E4" s="5"/>
      <c r="F4" s="5"/>
      <c r="G4" s="5"/>
      <c r="H4" s="5"/>
    </row>
    <row r="5" customFormat="false" ht="19.5" hidden="false" customHeight="true" outlineLevel="0" collapsed="false">
      <c r="A5" s="4"/>
      <c r="B5" s="6" t="s">
        <v>3</v>
      </c>
      <c r="C5" s="4"/>
      <c r="D5" s="7" t="s">
        <v>4</v>
      </c>
      <c r="E5" s="7"/>
      <c r="F5" s="7"/>
      <c r="G5" s="7"/>
      <c r="H5" s="7"/>
    </row>
    <row r="6" customFormat="false" ht="19.5" hidden="false" customHeight="true" outlineLevel="0" collapsed="false">
      <c r="A6" s="4"/>
      <c r="B6" s="8" t="s">
        <v>5</v>
      </c>
      <c r="C6" s="4"/>
      <c r="D6" s="9" t="s">
        <v>6</v>
      </c>
      <c r="E6" s="9"/>
      <c r="F6" s="9"/>
      <c r="G6" s="9"/>
      <c r="H6" s="9"/>
    </row>
    <row r="7" customFormat="false" ht="19.5" hidden="false" customHeight="true" outlineLevel="0" collapsed="false">
      <c r="A7" s="4"/>
      <c r="B7" s="10" t="s">
        <v>7</v>
      </c>
      <c r="C7" s="4"/>
      <c r="D7" s="11" t="s">
        <v>8</v>
      </c>
      <c r="E7" s="11"/>
      <c r="F7" s="11"/>
      <c r="G7" s="11"/>
      <c r="H7" s="11"/>
    </row>
    <row r="8" customFormat="false" ht="19.5" hidden="false" customHeight="true" outlineLevel="0" collapsed="false">
      <c r="A8" s="4"/>
      <c r="B8" s="12" t="s">
        <v>9</v>
      </c>
      <c r="C8" s="4"/>
      <c r="D8" s="13" t="s">
        <v>10</v>
      </c>
      <c r="E8" s="13"/>
      <c r="F8" s="13"/>
      <c r="G8" s="13"/>
      <c r="H8" s="13"/>
    </row>
    <row r="9" customFormat="false" ht="19.5" hidden="false" customHeight="true" outlineLevel="0" collapsed="false">
      <c r="A9" s="4"/>
      <c r="B9" s="14" t="s">
        <v>11</v>
      </c>
      <c r="C9" s="4"/>
      <c r="D9" s="15" t="s">
        <v>12</v>
      </c>
      <c r="E9" s="15"/>
      <c r="F9" s="15"/>
      <c r="G9" s="15"/>
      <c r="H9" s="15"/>
    </row>
    <row r="10" customFormat="false" ht="19.5" hidden="false" customHeight="true" outlineLevel="0" collapsed="false">
      <c r="A10" s="4"/>
      <c r="B10" s="16" t="s">
        <v>13</v>
      </c>
      <c r="C10" s="4"/>
      <c r="D10" s="17" t="s">
        <v>14</v>
      </c>
      <c r="E10" s="17"/>
      <c r="F10" s="17"/>
      <c r="G10" s="17"/>
      <c r="H10" s="17"/>
    </row>
    <row r="11" customFormat="false" ht="19.5" hidden="false" customHeight="true" outlineLevel="0" collapsed="false">
      <c r="A11" s="4"/>
      <c r="B11" s="18" t="s">
        <v>15</v>
      </c>
      <c r="C11" s="4"/>
      <c r="D11" s="19" t="s">
        <v>16</v>
      </c>
      <c r="E11" s="19"/>
      <c r="F11" s="19"/>
      <c r="G11" s="19"/>
      <c r="H11" s="19"/>
    </row>
    <row r="12" customFormat="false" ht="19.5" hidden="false" customHeight="true" outlineLevel="0" collapsed="false">
      <c r="A12" s="4"/>
      <c r="B12" s="20" t="s">
        <v>17</v>
      </c>
      <c r="C12" s="4"/>
      <c r="D12" s="21" t="s">
        <v>18</v>
      </c>
      <c r="E12" s="21"/>
      <c r="F12" s="21"/>
      <c r="G12" s="21"/>
      <c r="H12" s="21"/>
    </row>
    <row r="13" customFormat="false" ht="19.5" hidden="false" customHeight="true" outlineLevel="0" collapsed="false">
      <c r="A13" s="4"/>
      <c r="B13" s="22" t="s">
        <v>19</v>
      </c>
      <c r="C13" s="4"/>
      <c r="D13" s="11" t="s">
        <v>20</v>
      </c>
      <c r="E13" s="11"/>
      <c r="F13" s="11"/>
      <c r="G13" s="11"/>
      <c r="H13" s="11"/>
    </row>
    <row r="14" customFormat="false" ht="7.5" hidden="false" customHeight="true" outlineLevel="0" collapsed="false">
      <c r="A14" s="4"/>
      <c r="B14" s="4"/>
      <c r="C14" s="4"/>
      <c r="D14" s="4"/>
      <c r="E14" s="4"/>
      <c r="F14" s="4"/>
      <c r="G14" s="4"/>
      <c r="H14" s="4"/>
    </row>
    <row r="15" customFormat="false" ht="27.75" hidden="false" customHeight="true" outlineLevel="0" collapsed="false">
      <c r="A15" s="5" t="s">
        <v>21</v>
      </c>
      <c r="B15" s="5"/>
      <c r="C15" s="5"/>
      <c r="D15" s="5"/>
      <c r="E15" s="5"/>
      <c r="F15" s="5"/>
      <c r="G15" s="5"/>
      <c r="H15" s="5"/>
    </row>
    <row r="16" customFormat="false" ht="39.75" hidden="false" customHeight="true" outlineLevel="0" collapsed="false">
      <c r="A16" s="4"/>
      <c r="B16" s="23" t="s">
        <v>22</v>
      </c>
      <c r="C16" s="4"/>
      <c r="D16" s="24" t="s">
        <v>23</v>
      </c>
      <c r="E16" s="24"/>
      <c r="F16" s="24"/>
      <c r="G16" s="24"/>
      <c r="H16" s="24"/>
    </row>
    <row r="17" customFormat="false" ht="34.5" hidden="false" customHeight="true" outlineLevel="0" collapsed="false">
      <c r="A17" s="4"/>
      <c r="B17" s="23" t="s">
        <v>24</v>
      </c>
      <c r="C17" s="4"/>
      <c r="D17" s="24" t="s">
        <v>25</v>
      </c>
      <c r="E17" s="24"/>
      <c r="F17" s="24"/>
      <c r="G17" s="24"/>
      <c r="H17" s="24"/>
    </row>
    <row r="18" customFormat="false" ht="34.5" hidden="false" customHeight="true" outlineLevel="0" collapsed="false">
      <c r="A18" s="4"/>
      <c r="B18" s="23" t="s">
        <v>26</v>
      </c>
      <c r="C18" s="4"/>
      <c r="D18" s="24" t="s">
        <v>27</v>
      </c>
      <c r="E18" s="24"/>
      <c r="F18" s="24"/>
      <c r="G18" s="24"/>
      <c r="H18" s="24"/>
    </row>
    <row r="19" customFormat="false" ht="34.5" hidden="false" customHeight="true" outlineLevel="0" collapsed="false">
      <c r="A19" s="4"/>
      <c r="B19" s="23" t="s">
        <v>28</v>
      </c>
      <c r="C19" s="4"/>
      <c r="D19" s="24" t="s">
        <v>29</v>
      </c>
      <c r="E19" s="24"/>
      <c r="F19" s="24"/>
      <c r="G19" s="24"/>
      <c r="H19" s="24"/>
    </row>
    <row r="20" customFormat="false" ht="34.5" hidden="false" customHeight="true" outlineLevel="0" collapsed="false">
      <c r="A20" s="4"/>
      <c r="B20" s="23" t="s">
        <v>30</v>
      </c>
      <c r="C20" s="4"/>
      <c r="D20" s="24" t="s">
        <v>31</v>
      </c>
      <c r="E20" s="24"/>
      <c r="F20" s="24"/>
      <c r="G20" s="24"/>
      <c r="H20" s="24"/>
    </row>
    <row r="21" customFormat="false" ht="30" hidden="false" customHeight="true" outlineLevel="0" collapsed="false">
      <c r="A21" s="4"/>
      <c r="B21" s="23" t="s">
        <v>32</v>
      </c>
      <c r="C21" s="4"/>
      <c r="D21" s="24" t="s">
        <v>33</v>
      </c>
      <c r="E21" s="24"/>
      <c r="F21" s="24"/>
      <c r="G21" s="24"/>
      <c r="H21" s="24"/>
    </row>
    <row r="22" customFormat="false" ht="30" hidden="false" customHeight="true" outlineLevel="0" collapsed="false">
      <c r="A22" s="4"/>
      <c r="B22" s="23" t="s">
        <v>34</v>
      </c>
      <c r="C22" s="4"/>
      <c r="D22" s="24" t="s">
        <v>35</v>
      </c>
      <c r="E22" s="24"/>
      <c r="F22" s="24"/>
      <c r="G22" s="24"/>
      <c r="H22" s="24"/>
    </row>
    <row r="23" customFormat="false" ht="24.75" hidden="false" customHeight="true" outlineLevel="0" collapsed="false">
      <c r="A23" s="4"/>
      <c r="B23" s="23" t="s">
        <v>36</v>
      </c>
      <c r="C23" s="4"/>
      <c r="D23" s="24" t="s">
        <v>37</v>
      </c>
      <c r="E23" s="24"/>
      <c r="F23" s="24"/>
      <c r="G23" s="24"/>
      <c r="H23" s="24"/>
    </row>
    <row r="24" customFormat="false" ht="7.5" hidden="false" customHeight="true" outlineLevel="0" collapsed="false">
      <c r="A24" s="4"/>
      <c r="B24" s="4"/>
      <c r="C24" s="4"/>
      <c r="D24" s="4"/>
      <c r="E24" s="4"/>
      <c r="F24" s="4"/>
      <c r="G24" s="4"/>
      <c r="H24" s="4"/>
    </row>
    <row r="25" customFormat="false" ht="27.75" hidden="false" customHeight="true" outlineLevel="0" collapsed="false">
      <c r="A25" s="5" t="s">
        <v>38</v>
      </c>
      <c r="B25" s="5"/>
      <c r="C25" s="5"/>
      <c r="D25" s="5"/>
      <c r="E25" s="5"/>
      <c r="F25" s="5"/>
      <c r="G25" s="5"/>
      <c r="H25" s="5"/>
    </row>
    <row r="26" customFormat="false" ht="30" hidden="false" customHeight="true" outlineLevel="0" collapsed="false">
      <c r="A26" s="4"/>
      <c r="B26" s="23" t="s">
        <v>39</v>
      </c>
      <c r="C26" s="4"/>
      <c r="D26" s="24" t="s">
        <v>40</v>
      </c>
      <c r="E26" s="24"/>
      <c r="F26" s="24"/>
      <c r="G26" s="24"/>
      <c r="H26" s="24"/>
    </row>
    <row r="27" customFormat="false" ht="24.75" hidden="false" customHeight="true" outlineLevel="0" collapsed="false">
      <c r="A27" s="4"/>
      <c r="B27" s="23" t="s">
        <v>41</v>
      </c>
      <c r="C27" s="4"/>
      <c r="D27" s="24" t="s">
        <v>42</v>
      </c>
      <c r="E27" s="24"/>
      <c r="F27" s="24"/>
      <c r="G27" s="24"/>
      <c r="H27" s="24"/>
    </row>
    <row r="28" customFormat="false" ht="24.75" hidden="false" customHeight="true" outlineLevel="0" collapsed="false">
      <c r="A28" s="4"/>
      <c r="B28" s="23" t="s">
        <v>43</v>
      </c>
      <c r="C28" s="4"/>
      <c r="D28" s="24" t="s">
        <v>44</v>
      </c>
      <c r="E28" s="24"/>
      <c r="F28" s="24"/>
      <c r="G28" s="24"/>
      <c r="H28" s="24"/>
    </row>
    <row r="29" customFormat="false" ht="24.75" hidden="false" customHeight="true" outlineLevel="0" collapsed="false">
      <c r="A29" s="4"/>
      <c r="B29" s="23" t="s">
        <v>45</v>
      </c>
      <c r="C29" s="4"/>
      <c r="D29" s="24" t="s">
        <v>46</v>
      </c>
      <c r="E29" s="24"/>
      <c r="F29" s="24"/>
      <c r="G29" s="24"/>
      <c r="H29" s="24"/>
    </row>
    <row r="30" customFormat="false" ht="30" hidden="false" customHeight="true" outlineLevel="0" collapsed="false">
      <c r="A30" s="4"/>
      <c r="B30" s="23" t="s">
        <v>47</v>
      </c>
      <c r="C30" s="4"/>
      <c r="D30" s="24" t="s">
        <v>48</v>
      </c>
      <c r="E30" s="24"/>
      <c r="F30" s="24"/>
      <c r="G30" s="24"/>
      <c r="H30" s="24"/>
    </row>
    <row r="31" customFormat="false" ht="24.75" hidden="false" customHeight="true" outlineLevel="0" collapsed="false">
      <c r="A31" s="4"/>
      <c r="B31" s="23" t="s">
        <v>49</v>
      </c>
      <c r="C31" s="4"/>
      <c r="D31" s="24" t="s">
        <v>50</v>
      </c>
      <c r="E31" s="24"/>
      <c r="F31" s="24"/>
      <c r="G31" s="24"/>
      <c r="H31" s="24"/>
    </row>
    <row r="32" customFormat="false" ht="21.75" hidden="false" customHeight="true" outlineLevel="0" collapsed="false">
      <c r="A32" s="4"/>
      <c r="B32" s="23" t="s">
        <v>51</v>
      </c>
      <c r="C32" s="4"/>
      <c r="D32" s="24" t="s">
        <v>52</v>
      </c>
      <c r="E32" s="24"/>
      <c r="F32" s="24"/>
      <c r="G32" s="24"/>
      <c r="H32" s="24"/>
    </row>
    <row r="33" customFormat="false" ht="24.75" hidden="false" customHeight="true" outlineLevel="0" collapsed="false">
      <c r="A33" s="4"/>
      <c r="B33" s="23" t="s">
        <v>53</v>
      </c>
      <c r="C33" s="4"/>
      <c r="D33" s="24" t="s">
        <v>54</v>
      </c>
      <c r="E33" s="24"/>
      <c r="F33" s="24"/>
      <c r="G33" s="24"/>
      <c r="H33" s="24"/>
    </row>
    <row r="34" customFormat="false" ht="54.75" hidden="false" customHeight="true" outlineLevel="0" collapsed="false">
      <c r="A34" s="4"/>
      <c r="B34" s="23" t="s">
        <v>55</v>
      </c>
      <c r="C34" s="4"/>
      <c r="D34" s="24" t="s">
        <v>56</v>
      </c>
      <c r="E34" s="24"/>
      <c r="F34" s="24"/>
      <c r="G34" s="24"/>
      <c r="H34" s="24"/>
    </row>
    <row r="35" customFormat="false" ht="30" hidden="false" customHeight="true" outlineLevel="0" collapsed="false">
      <c r="A35" s="4"/>
      <c r="B35" s="23" t="s">
        <v>57</v>
      </c>
      <c r="C35" s="4"/>
      <c r="D35" s="24" t="s">
        <v>58</v>
      </c>
      <c r="E35" s="24"/>
      <c r="F35" s="24"/>
      <c r="G35" s="24"/>
      <c r="H35" s="24"/>
    </row>
    <row r="36" customFormat="false" ht="34.5" hidden="false" customHeight="true" outlineLevel="0" collapsed="false">
      <c r="A36" s="4"/>
      <c r="B36" s="23" t="s">
        <v>59</v>
      </c>
      <c r="C36" s="4"/>
      <c r="D36" s="24" t="s">
        <v>60</v>
      </c>
      <c r="E36" s="24"/>
      <c r="F36" s="24"/>
      <c r="G36" s="24"/>
      <c r="H36" s="24"/>
    </row>
    <row r="37" customFormat="false" ht="34.5" hidden="false" customHeight="true" outlineLevel="0" collapsed="false">
      <c r="A37" s="4"/>
      <c r="B37" s="23" t="s">
        <v>61</v>
      </c>
      <c r="C37" s="4"/>
      <c r="D37" s="24" t="s">
        <v>62</v>
      </c>
      <c r="E37" s="24"/>
      <c r="F37" s="24"/>
      <c r="G37" s="24"/>
      <c r="H37" s="24"/>
    </row>
    <row r="38" customFormat="false" ht="7.5" hidden="false" customHeight="true" outlineLevel="0" collapsed="false">
      <c r="A38" s="4"/>
      <c r="B38" s="4"/>
      <c r="C38" s="4"/>
      <c r="D38" s="4"/>
      <c r="E38" s="4"/>
      <c r="F38" s="4"/>
      <c r="G38" s="4"/>
      <c r="H38" s="4"/>
    </row>
    <row r="39" customFormat="false" ht="27.75" hidden="false" customHeight="true" outlineLevel="0" collapsed="false">
      <c r="A39" s="25" t="s">
        <v>63</v>
      </c>
      <c r="B39" s="25"/>
      <c r="C39" s="25"/>
      <c r="D39" s="25"/>
      <c r="E39" s="25"/>
      <c r="F39" s="25"/>
      <c r="G39" s="25"/>
      <c r="H39" s="25"/>
    </row>
    <row r="40" customFormat="false" ht="45" hidden="false" customHeight="true" outlineLevel="0" collapsed="false">
      <c r="A40" s="4"/>
      <c r="B40" s="26" t="s">
        <v>64</v>
      </c>
      <c r="C40" s="4"/>
      <c r="D40" s="27" t="s">
        <v>65</v>
      </c>
      <c r="E40" s="27"/>
      <c r="F40" s="27"/>
      <c r="G40" s="27"/>
      <c r="H40" s="27"/>
    </row>
    <row r="41" customFormat="false" ht="45" hidden="false" customHeight="true" outlineLevel="0" collapsed="false">
      <c r="A41" s="4"/>
      <c r="B41" s="26" t="s">
        <v>66</v>
      </c>
      <c r="C41" s="4"/>
      <c r="D41" s="27" t="s">
        <v>67</v>
      </c>
      <c r="E41" s="27"/>
      <c r="F41" s="27"/>
      <c r="G41" s="27"/>
      <c r="H41" s="27"/>
    </row>
    <row r="42" customFormat="false" ht="45" hidden="false" customHeight="true" outlineLevel="0" collapsed="false">
      <c r="A42" s="4"/>
      <c r="B42" s="26" t="s">
        <v>68</v>
      </c>
      <c r="C42" s="4"/>
      <c r="D42" s="27" t="s">
        <v>69</v>
      </c>
      <c r="E42" s="27"/>
      <c r="F42" s="27"/>
      <c r="G42" s="27"/>
      <c r="H42" s="27"/>
    </row>
    <row r="43" customFormat="false" ht="39.75" hidden="false" customHeight="true" outlineLevel="0" collapsed="false">
      <c r="A43" s="4"/>
      <c r="B43" s="26" t="s">
        <v>70</v>
      </c>
      <c r="C43" s="4"/>
      <c r="D43" s="27" t="s">
        <v>71</v>
      </c>
      <c r="E43" s="27"/>
      <c r="F43" s="27"/>
      <c r="G43" s="27"/>
      <c r="H43" s="27"/>
    </row>
    <row r="44" customFormat="false" ht="39.75" hidden="false" customHeight="true" outlineLevel="0" collapsed="false">
      <c r="A44" s="4"/>
      <c r="B44" s="26" t="s">
        <v>72</v>
      </c>
      <c r="C44" s="4"/>
      <c r="D44" s="27" t="s">
        <v>73</v>
      </c>
      <c r="E44" s="27"/>
      <c r="F44" s="27"/>
      <c r="G44" s="27"/>
      <c r="H44" s="27"/>
    </row>
    <row r="45" customFormat="false" ht="7.5" hidden="false" customHeight="true" outlineLevel="0" collapsed="false">
      <c r="A45" s="4"/>
      <c r="B45" s="4"/>
      <c r="C45" s="4"/>
      <c r="D45" s="4"/>
      <c r="E45" s="4"/>
      <c r="F45" s="4"/>
      <c r="G45" s="4"/>
      <c r="H45" s="4"/>
    </row>
    <row r="46" customFormat="false" ht="27.75" hidden="false" customHeight="true" outlineLevel="0" collapsed="false">
      <c r="A46" s="5" t="s">
        <v>74</v>
      </c>
      <c r="B46" s="5"/>
      <c r="C46" s="5"/>
      <c r="D46" s="5"/>
      <c r="E46" s="5"/>
      <c r="F46" s="5"/>
      <c r="G46" s="5"/>
      <c r="H46" s="5"/>
    </row>
    <row r="47" customFormat="false" ht="39.75" hidden="false" customHeight="true" outlineLevel="0" collapsed="false">
      <c r="A47" s="4"/>
      <c r="B47" s="23" t="s">
        <v>75</v>
      </c>
      <c r="C47" s="4"/>
      <c r="D47" s="24" t="s">
        <v>76</v>
      </c>
      <c r="E47" s="24"/>
      <c r="F47" s="24"/>
      <c r="G47" s="24"/>
      <c r="H47" s="24"/>
    </row>
    <row r="48" customFormat="false" ht="39.75" hidden="false" customHeight="true" outlineLevel="0" collapsed="false">
      <c r="A48" s="4"/>
      <c r="B48" s="23" t="s">
        <v>77</v>
      </c>
      <c r="C48" s="4"/>
      <c r="D48" s="24" t="s">
        <v>78</v>
      </c>
      <c r="E48" s="24"/>
      <c r="F48" s="24"/>
      <c r="G48" s="24"/>
      <c r="H48" s="24"/>
    </row>
    <row r="49" customFormat="false" ht="30" hidden="false" customHeight="true" outlineLevel="0" collapsed="false">
      <c r="A49" s="4"/>
      <c r="B49" s="23" t="s">
        <v>79</v>
      </c>
      <c r="C49" s="4"/>
      <c r="D49" s="24" t="s">
        <v>80</v>
      </c>
      <c r="E49" s="24"/>
      <c r="F49" s="24"/>
      <c r="G49" s="24"/>
      <c r="H49" s="24"/>
    </row>
    <row r="50" customFormat="false" ht="34.5" hidden="false" customHeight="true" outlineLevel="0" collapsed="false">
      <c r="A50" s="4"/>
      <c r="B50" s="23" t="s">
        <v>81</v>
      </c>
      <c r="C50" s="4"/>
      <c r="D50" s="24" t="s">
        <v>82</v>
      </c>
      <c r="E50" s="24"/>
      <c r="F50" s="24"/>
      <c r="G50" s="24"/>
      <c r="H50" s="24"/>
    </row>
    <row r="51" customFormat="false" ht="39.75" hidden="false" customHeight="true" outlineLevel="0" collapsed="false">
      <c r="A51" s="4"/>
      <c r="B51" s="23" t="s">
        <v>83</v>
      </c>
      <c r="C51" s="4"/>
      <c r="D51" s="24" t="s">
        <v>84</v>
      </c>
      <c r="E51" s="24"/>
      <c r="F51" s="24"/>
      <c r="G51" s="24"/>
      <c r="H51" s="24"/>
    </row>
    <row r="52" customFormat="false" ht="34.5" hidden="false" customHeight="true" outlineLevel="0" collapsed="false">
      <c r="A52" s="4"/>
      <c r="B52" s="23" t="s">
        <v>85</v>
      </c>
      <c r="C52" s="4"/>
      <c r="D52" s="24" t="s">
        <v>86</v>
      </c>
      <c r="E52" s="24"/>
      <c r="F52" s="24"/>
      <c r="G52" s="24"/>
      <c r="H52" s="24"/>
    </row>
    <row r="53" customFormat="false" ht="7.5" hidden="false" customHeight="true" outlineLevel="0" collapsed="false">
      <c r="A53" s="4"/>
      <c r="B53" s="4"/>
      <c r="C53" s="4"/>
      <c r="D53" s="4"/>
      <c r="E53" s="4"/>
      <c r="F53" s="4"/>
      <c r="G53" s="4"/>
      <c r="H53" s="4"/>
    </row>
    <row r="54" customFormat="false" ht="21.75" hidden="false" customHeight="true" outlineLevel="0" collapsed="false">
      <c r="A54" s="28" t="s">
        <v>87</v>
      </c>
      <c r="B54" s="28"/>
      <c r="C54" s="28"/>
      <c r="D54" s="28"/>
      <c r="E54" s="28"/>
      <c r="F54" s="28"/>
      <c r="G54" s="28"/>
      <c r="H54" s="28"/>
    </row>
  </sheetData>
  <mergeCells count="48">
    <mergeCell ref="A1:H1"/>
    <mergeCell ref="A2:H2"/>
    <mergeCell ref="A4:H4"/>
    <mergeCell ref="D5:H5"/>
    <mergeCell ref="D6:H6"/>
    <mergeCell ref="D7:H7"/>
    <mergeCell ref="D8:H8"/>
    <mergeCell ref="D9:H9"/>
    <mergeCell ref="D10:H10"/>
    <mergeCell ref="D11:H11"/>
    <mergeCell ref="D12:H12"/>
    <mergeCell ref="D13:H13"/>
    <mergeCell ref="A15:H15"/>
    <mergeCell ref="D16:H16"/>
    <mergeCell ref="D17:H17"/>
    <mergeCell ref="D18:H18"/>
    <mergeCell ref="D19:H19"/>
    <mergeCell ref="D20:H20"/>
    <mergeCell ref="D21:H21"/>
    <mergeCell ref="D22:H22"/>
    <mergeCell ref="D23:H23"/>
    <mergeCell ref="A25:H25"/>
    <mergeCell ref="D26:H26"/>
    <mergeCell ref="D27:H27"/>
    <mergeCell ref="D28:H28"/>
    <mergeCell ref="D29:H29"/>
    <mergeCell ref="D30:H30"/>
    <mergeCell ref="D31:H31"/>
    <mergeCell ref="D32:H32"/>
    <mergeCell ref="D33:H33"/>
    <mergeCell ref="D34:H34"/>
    <mergeCell ref="D35:H35"/>
    <mergeCell ref="D36:H36"/>
    <mergeCell ref="D37:H37"/>
    <mergeCell ref="A39:H39"/>
    <mergeCell ref="D40:H40"/>
    <mergeCell ref="D41:H41"/>
    <mergeCell ref="D42:H42"/>
    <mergeCell ref="D43:H43"/>
    <mergeCell ref="D44:H44"/>
    <mergeCell ref="A46:H46"/>
    <mergeCell ref="D47:H47"/>
    <mergeCell ref="D48:H48"/>
    <mergeCell ref="D49:H49"/>
    <mergeCell ref="D50:H50"/>
    <mergeCell ref="D51:H51"/>
    <mergeCell ref="D52:H52"/>
    <mergeCell ref="A54:H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5"/>
    <col collapsed="false" customWidth="true" hidden="false" outlineLevel="0" max="4" min="4" style="1" width="28"/>
    <col collapsed="false" customWidth="true" hidden="false" outlineLevel="0" max="5" min="5" style="1" width="5"/>
    <col collapsed="false" customWidth="true" hidden="false" outlineLevel="0" max="6" min="6" style="1" width="28"/>
    <col collapsed="false" customWidth="true" hidden="false" outlineLevel="0" max="8" min="8" style="0" width="45"/>
  </cols>
  <sheetData>
    <row r="1" customFormat="false" ht="36" hidden="false" customHeight="true" outlineLevel="0" collapsed="false">
      <c r="A1" s="29" t="s">
        <v>88</v>
      </c>
      <c r="B1" s="29"/>
      <c r="C1" s="29"/>
      <c r="D1" s="29"/>
      <c r="E1" s="29"/>
      <c r="F1" s="29"/>
    </row>
    <row r="2" customFormat="false" ht="19.5" hidden="false" customHeight="true" outlineLevel="0" collapsed="false">
      <c r="A2" s="30" t="s">
        <v>89</v>
      </c>
      <c r="B2" s="30"/>
      <c r="C2" s="30"/>
      <c r="D2" s="30"/>
      <c r="E2" s="30"/>
      <c r="F2" s="30"/>
    </row>
    <row r="3" customFormat="false" ht="7.5" hidden="false" customHeight="true" outlineLevel="0" collapsed="false">
      <c r="A3" s="4"/>
      <c r="B3" s="4"/>
      <c r="C3" s="4"/>
      <c r="D3" s="4"/>
      <c r="E3" s="4"/>
      <c r="F3" s="4"/>
    </row>
    <row r="4" customFormat="false" ht="25.5" hidden="false" customHeight="true" outlineLevel="0" collapsed="false">
      <c r="A4" s="4"/>
      <c r="B4" s="31" t="s">
        <v>90</v>
      </c>
      <c r="C4" s="4"/>
      <c r="D4" s="31" t="s">
        <v>91</v>
      </c>
      <c r="E4" s="4"/>
      <c r="F4" s="32" t="s">
        <v>92</v>
      </c>
      <c r="H4" s="32" t="s">
        <v>93</v>
      </c>
    </row>
    <row r="5" customFormat="false" ht="21.75" hidden="false" customHeight="true" outlineLevel="0" collapsed="false">
      <c r="A5" s="4"/>
      <c r="B5" s="33" t="s">
        <v>94</v>
      </c>
      <c r="C5" s="4"/>
      <c r="D5" s="34" t="s">
        <v>95</v>
      </c>
      <c r="E5" s="4"/>
      <c r="F5" s="35" t="s">
        <v>96</v>
      </c>
      <c r="H5" s="36" t="s">
        <v>97</v>
      </c>
    </row>
    <row r="6" customFormat="false" ht="21.75" hidden="false" customHeight="true" outlineLevel="0" collapsed="false">
      <c r="A6" s="4"/>
      <c r="B6" s="33" t="s">
        <v>98</v>
      </c>
      <c r="C6" s="4"/>
      <c r="D6" s="34" t="s">
        <v>99</v>
      </c>
      <c r="E6" s="4"/>
      <c r="F6" s="35" t="s">
        <v>100</v>
      </c>
      <c r="H6" s="37" t="s">
        <v>101</v>
      </c>
    </row>
    <row r="7" customFormat="false" ht="21.75" hidden="false" customHeight="true" outlineLevel="0" collapsed="false">
      <c r="A7" s="4"/>
      <c r="B7" s="33" t="s">
        <v>102</v>
      </c>
      <c r="C7" s="4"/>
      <c r="D7" s="34" t="s">
        <v>103</v>
      </c>
      <c r="E7" s="4"/>
      <c r="F7" s="35" t="s">
        <v>104</v>
      </c>
      <c r="H7" s="36" t="s">
        <v>105</v>
      </c>
    </row>
    <row r="8" customFormat="false" ht="21.75" hidden="false" customHeight="true" outlineLevel="0" collapsed="false">
      <c r="A8" s="4"/>
      <c r="B8" s="33" t="s">
        <v>106</v>
      </c>
      <c r="C8" s="4"/>
      <c r="D8" s="34" t="s">
        <v>107</v>
      </c>
      <c r="E8" s="4"/>
      <c r="F8" s="35" t="s">
        <v>108</v>
      </c>
      <c r="H8" s="37" t="s">
        <v>109</v>
      </c>
    </row>
    <row r="9" customFormat="false" ht="21.75" hidden="false" customHeight="true" outlineLevel="0" collapsed="false">
      <c r="A9" s="4"/>
      <c r="B9" s="33" t="s">
        <v>110</v>
      </c>
      <c r="C9" s="4"/>
      <c r="D9" s="34" t="s">
        <v>111</v>
      </c>
      <c r="E9" s="4"/>
      <c r="F9" s="35" t="s">
        <v>112</v>
      </c>
      <c r="H9" s="36" t="s">
        <v>113</v>
      </c>
    </row>
    <row r="10" customFormat="false" ht="21.75" hidden="false" customHeight="true" outlineLevel="0" collapsed="false">
      <c r="A10" s="4"/>
      <c r="B10" s="33" t="s">
        <v>114</v>
      </c>
      <c r="C10" s="4"/>
      <c r="D10" s="34" t="s">
        <v>115</v>
      </c>
      <c r="E10" s="4"/>
      <c r="F10" s="38"/>
      <c r="H10" s="37" t="s">
        <v>116</v>
      </c>
    </row>
    <row r="11" customFormat="false" ht="21.75" hidden="false" customHeight="true" outlineLevel="0" collapsed="false">
      <c r="A11" s="4"/>
      <c r="B11" s="33" t="s">
        <v>117</v>
      </c>
      <c r="C11" s="4"/>
      <c r="D11" s="34" t="s">
        <v>26</v>
      </c>
      <c r="E11" s="4"/>
      <c r="F11" s="39"/>
      <c r="H11" s="38"/>
    </row>
    <row r="12" customFormat="false" ht="21.75" hidden="false" customHeight="true" outlineLevel="0" collapsed="false">
      <c r="A12" s="4"/>
      <c r="B12" s="33"/>
      <c r="C12" s="4"/>
      <c r="D12" s="34" t="s">
        <v>118</v>
      </c>
      <c r="E12" s="4"/>
      <c r="F12" s="38"/>
    </row>
    <row r="13" customFormat="false" ht="21.75" hidden="false" customHeight="true" outlineLevel="0" collapsed="false">
      <c r="A13" s="4"/>
      <c r="B13" s="33"/>
      <c r="C13" s="4"/>
      <c r="D13" s="34" t="s">
        <v>119</v>
      </c>
      <c r="E13" s="4"/>
      <c r="F13" s="39"/>
    </row>
    <row r="14" customFormat="false" ht="21.75" hidden="false" customHeight="true" outlineLevel="0" collapsed="false">
      <c r="A14" s="4"/>
      <c r="B14" s="33"/>
      <c r="C14" s="4"/>
      <c r="D14" s="34" t="s">
        <v>120</v>
      </c>
      <c r="E14" s="4"/>
      <c r="F14" s="38"/>
    </row>
    <row r="15" customFormat="false" ht="21.75" hidden="false" customHeight="true" outlineLevel="0" collapsed="false">
      <c r="A15" s="4"/>
      <c r="B15" s="33"/>
      <c r="C15" s="4"/>
      <c r="D15" s="34" t="s">
        <v>121</v>
      </c>
      <c r="E15" s="4"/>
      <c r="F15" s="39"/>
    </row>
    <row r="16" customFormat="false" ht="21.75" hidden="false" customHeight="true" outlineLevel="0" collapsed="false">
      <c r="A16" s="4"/>
      <c r="B16" s="33"/>
      <c r="C16" s="4"/>
      <c r="D16" s="34" t="s">
        <v>122</v>
      </c>
      <c r="E16" s="4"/>
      <c r="F16" s="38"/>
    </row>
    <row r="17" customFormat="false" ht="21.75" hidden="false" customHeight="true" outlineLevel="0" collapsed="false">
      <c r="A17" s="4"/>
      <c r="B17" s="33"/>
      <c r="C17" s="4"/>
      <c r="D17" s="34"/>
      <c r="E17" s="4"/>
      <c r="F17" s="39"/>
    </row>
    <row r="18" customFormat="false" ht="21.75" hidden="false" customHeight="true" outlineLevel="0" collapsed="false">
      <c r="A18" s="4"/>
      <c r="B18" s="33"/>
      <c r="C18" s="4"/>
      <c r="D18" s="34"/>
      <c r="E18" s="4"/>
      <c r="F18" s="38"/>
    </row>
    <row r="19" customFormat="false" ht="21.75" hidden="false" customHeight="true" outlineLevel="0" collapsed="false">
      <c r="A19" s="4"/>
      <c r="B19" s="33"/>
      <c r="C19" s="4"/>
      <c r="D19" s="34"/>
      <c r="E19" s="4"/>
      <c r="F19" s="39"/>
    </row>
    <row r="20" customFormat="false" ht="21.75" hidden="false" customHeight="true" outlineLevel="0" collapsed="false">
      <c r="A20" s="4"/>
      <c r="B20" s="33"/>
      <c r="C20" s="4"/>
      <c r="D20" s="34"/>
      <c r="E20" s="4"/>
      <c r="F20" s="38"/>
    </row>
    <row r="21" customFormat="false" ht="21.75" hidden="false" customHeight="true" outlineLevel="0" collapsed="false">
      <c r="A21" s="4"/>
      <c r="B21" s="33"/>
      <c r="C21" s="4"/>
      <c r="D21" s="34"/>
      <c r="E21" s="4"/>
      <c r="F21" s="39"/>
    </row>
    <row r="22" customFormat="false" ht="21.75" hidden="false" customHeight="true" outlineLevel="0" collapsed="false">
      <c r="A22" s="4"/>
      <c r="B22" s="33"/>
      <c r="C22" s="4"/>
      <c r="D22" s="34"/>
      <c r="E22" s="4"/>
      <c r="F22" s="38"/>
    </row>
    <row r="23" customFormat="false" ht="21.75" hidden="false" customHeight="true" outlineLevel="0" collapsed="false">
      <c r="A23" s="4"/>
      <c r="B23" s="33"/>
      <c r="C23" s="4"/>
      <c r="D23" s="34"/>
      <c r="E23" s="4"/>
      <c r="F23" s="39"/>
    </row>
    <row r="24" customFormat="false" ht="21.75" hidden="false" customHeight="true" outlineLevel="0" collapsed="false">
      <c r="A24" s="4"/>
      <c r="B24" s="33"/>
      <c r="C24" s="4"/>
      <c r="D24" s="34"/>
      <c r="E24" s="4"/>
      <c r="F24" s="38"/>
    </row>
    <row r="25" customFormat="false" ht="21.75" hidden="false" customHeight="true" outlineLevel="0" collapsed="false">
      <c r="A25" s="4"/>
      <c r="B25" s="33"/>
      <c r="C25" s="4"/>
      <c r="D25" s="34"/>
      <c r="E25" s="4"/>
      <c r="F25" s="39"/>
    </row>
    <row r="26" customFormat="false" ht="21.75" hidden="false" customHeight="true" outlineLevel="0" collapsed="false">
      <c r="A26" s="4"/>
      <c r="B26" s="33"/>
      <c r="C26" s="4"/>
      <c r="D26" s="34"/>
      <c r="E26" s="4"/>
      <c r="F26" s="38"/>
    </row>
    <row r="27" customFormat="false" ht="21.75" hidden="false" customHeight="true" outlineLevel="0" collapsed="false">
      <c r="A27" s="4"/>
      <c r="B27" s="33"/>
      <c r="C27" s="4"/>
      <c r="D27" s="34"/>
      <c r="E27" s="4"/>
      <c r="F27" s="39"/>
    </row>
    <row r="28" customFormat="false" ht="21.75" hidden="false" customHeight="true" outlineLevel="0" collapsed="false">
      <c r="A28" s="4"/>
      <c r="B28" s="33"/>
      <c r="C28" s="4"/>
      <c r="D28" s="34"/>
      <c r="E28" s="4"/>
      <c r="F28" s="38"/>
    </row>
    <row r="29" customFormat="false" ht="21.75" hidden="false" customHeight="true" outlineLevel="0" collapsed="false">
      <c r="A29" s="4"/>
      <c r="B29" s="33"/>
      <c r="C29" s="4"/>
      <c r="D29" s="34"/>
      <c r="E29" s="4"/>
      <c r="F29" s="39"/>
    </row>
    <row r="30" customFormat="false" ht="21.75" hidden="false" customHeight="true" outlineLevel="0" collapsed="false">
      <c r="A30" s="4"/>
      <c r="B30" s="33"/>
      <c r="C30" s="4"/>
      <c r="D30" s="34"/>
      <c r="E30" s="4"/>
      <c r="F30" s="38"/>
    </row>
    <row r="31" customFormat="false" ht="21.75" hidden="false" customHeight="true" outlineLevel="0" collapsed="false">
      <c r="A31" s="4"/>
      <c r="B31" s="33"/>
      <c r="C31" s="4"/>
      <c r="D31" s="34"/>
      <c r="E31" s="4"/>
      <c r="F31" s="39"/>
    </row>
    <row r="32" customFormat="false" ht="21.75" hidden="false" customHeight="true" outlineLevel="0" collapsed="false">
      <c r="A32" s="4"/>
      <c r="B32" s="33"/>
      <c r="C32" s="4"/>
      <c r="D32" s="34"/>
      <c r="E32" s="4"/>
      <c r="F32" s="38"/>
    </row>
    <row r="33" customFormat="false" ht="21.75" hidden="false" customHeight="true" outlineLevel="0" collapsed="false">
      <c r="A33" s="4"/>
      <c r="B33" s="33"/>
      <c r="C33" s="4"/>
      <c r="D33" s="34"/>
      <c r="E33" s="4"/>
      <c r="F33" s="39"/>
    </row>
    <row r="34" customFormat="false" ht="21.75" hidden="false" customHeight="true" outlineLevel="0" collapsed="false">
      <c r="A34" s="4"/>
      <c r="B34" s="33"/>
      <c r="C34" s="4"/>
      <c r="D34" s="34"/>
      <c r="E34" s="4"/>
      <c r="F34" s="38"/>
    </row>
    <row r="35" customFormat="false" ht="15" hidden="false" customHeight="true" outlineLevel="0" collapsed="false">
      <c r="A35" s="4"/>
      <c r="B35" s="40" t="s">
        <v>123</v>
      </c>
      <c r="C35" s="4"/>
      <c r="D35" s="40" t="s">
        <v>124</v>
      </c>
      <c r="E35" s="4"/>
      <c r="F35" s="41" t="s">
        <v>125</v>
      </c>
    </row>
    <row r="36" customFormat="false" ht="15" hidden="false" customHeight="true" outlineLevel="0" collapsed="false">
      <c r="A36" s="4"/>
      <c r="B36" s="4"/>
      <c r="C36" s="4"/>
      <c r="D36" s="4"/>
      <c r="E36" s="4"/>
      <c r="F36" s="4"/>
    </row>
    <row r="37" customFormat="false" ht="30" hidden="false" customHeight="true" outlineLevel="0" collapsed="false">
      <c r="A37" s="42" t="s">
        <v>126</v>
      </c>
      <c r="B37" s="42"/>
      <c r="C37" s="42"/>
      <c r="D37" s="42"/>
      <c r="E37" s="42"/>
      <c r="F37" s="42"/>
    </row>
    <row r="38" customFormat="false" ht="54.75" hidden="false" customHeight="true" outlineLevel="0" collapsed="false">
      <c r="A38" s="4"/>
      <c r="B38" s="43" t="s">
        <v>127</v>
      </c>
      <c r="C38" s="44" t="s">
        <v>128</v>
      </c>
      <c r="D38" s="44"/>
      <c r="E38" s="44"/>
      <c r="F38" s="44"/>
    </row>
    <row r="39" customFormat="false" ht="54.75" hidden="false" customHeight="true" outlineLevel="0" collapsed="false">
      <c r="A39" s="4"/>
      <c r="B39" s="43" t="s">
        <v>129</v>
      </c>
      <c r="C39" s="44" t="s">
        <v>130</v>
      </c>
      <c r="D39" s="44"/>
      <c r="E39" s="44"/>
      <c r="F39" s="44"/>
    </row>
    <row r="40" customFormat="false" ht="54.75" hidden="false" customHeight="true" outlineLevel="0" collapsed="false">
      <c r="A40" s="4"/>
      <c r="B40" s="43" t="s">
        <v>131</v>
      </c>
      <c r="C40" s="44" t="s">
        <v>132</v>
      </c>
      <c r="D40" s="44"/>
      <c r="E40" s="44"/>
      <c r="F40" s="44"/>
    </row>
    <row r="41" customFormat="false" ht="9.75" hidden="false" customHeight="true" outlineLevel="0" collapsed="false">
      <c r="A41" s="4"/>
      <c r="B41" s="4"/>
      <c r="C41" s="4"/>
      <c r="D41" s="4"/>
      <c r="E41" s="4"/>
      <c r="F41" s="4"/>
    </row>
    <row r="42" customFormat="false" ht="25.5" hidden="false" customHeight="true" outlineLevel="0" collapsed="false">
      <c r="A42" s="4"/>
      <c r="B42" s="45" t="s">
        <v>133</v>
      </c>
      <c r="C42" s="45"/>
      <c r="D42" s="45" t="s">
        <v>134</v>
      </c>
      <c r="E42" s="45"/>
      <c r="F42" s="32" t="s">
        <v>135</v>
      </c>
    </row>
    <row r="43" customFormat="false" ht="24" hidden="false" customHeight="true" outlineLevel="0" collapsed="false">
      <c r="A43" s="4"/>
      <c r="B43" s="46" t="s">
        <v>136</v>
      </c>
      <c r="C43" s="46"/>
      <c r="D43" s="47" t="s">
        <v>137</v>
      </c>
      <c r="E43" s="47"/>
      <c r="F43" s="48" t="s">
        <v>138</v>
      </c>
    </row>
    <row r="44" customFormat="false" ht="24" hidden="false" customHeight="true" outlineLevel="0" collapsed="false">
      <c r="A44" s="4"/>
      <c r="B44" s="46" t="s">
        <v>139</v>
      </c>
      <c r="C44" s="46"/>
      <c r="D44" s="49" t="n">
        <v>2.7315</v>
      </c>
      <c r="E44" s="49"/>
      <c r="F44" s="48" t="s">
        <v>140</v>
      </c>
    </row>
    <row r="45" customFormat="false" ht="24" hidden="false" customHeight="true" outlineLevel="0" collapsed="false">
      <c r="A45" s="4"/>
      <c r="B45" s="46" t="s">
        <v>141</v>
      </c>
      <c r="C45" s="46"/>
      <c r="D45" s="49" t="n">
        <v>19.1358</v>
      </c>
      <c r="E45" s="49"/>
      <c r="F45" s="48" t="s">
        <v>142</v>
      </c>
    </row>
    <row r="46" customFormat="false" ht="7.5" hidden="false" customHeight="true" outlineLevel="0" collapsed="false">
      <c r="A46" s="4"/>
      <c r="B46" s="4"/>
      <c r="C46" s="4"/>
      <c r="D46" s="4"/>
      <c r="E46" s="4"/>
      <c r="F46" s="4"/>
    </row>
    <row r="47" customFormat="false" ht="25.5" hidden="false" customHeight="true" outlineLevel="0" collapsed="false">
      <c r="A47" s="32" t="s">
        <v>143</v>
      </c>
      <c r="B47" s="32"/>
      <c r="C47" s="32"/>
      <c r="D47" s="32"/>
      <c r="E47" s="32"/>
      <c r="F47" s="32"/>
    </row>
    <row r="48" customFormat="false" ht="21.75" hidden="false" customHeight="true" outlineLevel="0" collapsed="false">
      <c r="A48" s="4"/>
      <c r="B48" s="50" t="s">
        <v>144</v>
      </c>
      <c r="C48" s="4"/>
      <c r="D48" s="50" t="s">
        <v>145</v>
      </c>
      <c r="E48" s="4"/>
      <c r="F48" s="50" t="s">
        <v>146</v>
      </c>
    </row>
    <row r="49" customFormat="false" ht="31.5" hidden="false" customHeight="true" outlineLevel="0" collapsed="false">
      <c r="A49" s="4"/>
      <c r="B49" s="51" t="n">
        <v>0</v>
      </c>
      <c r="C49" s="4"/>
      <c r="D49" s="52" t="str">
        <f aca="false">IF(B49=0,"Enter price →",B49*$D$44)</f>
        <v>Enter price →</v>
      </c>
      <c r="E49" s="4"/>
      <c r="F49" s="53" t="n">
        <v>0</v>
      </c>
    </row>
    <row r="50" customFormat="false" ht="19.5" hidden="false" customHeight="true" outlineLevel="0" collapsed="false">
      <c r="A50" s="4"/>
      <c r="B50" s="4"/>
      <c r="C50" s="4"/>
      <c r="D50" s="54" t="str">
        <f aca="false">IF(B49=0,"","Silver Nisab = "&amp;TEXT(F49*$D$45,"$#,##0.00"))</f>
        <v/>
      </c>
      <c r="E50" s="4"/>
      <c r="F50" s="4"/>
    </row>
  </sheetData>
  <mergeCells count="15">
    <mergeCell ref="A1:F1"/>
    <mergeCell ref="A2:F2"/>
    <mergeCell ref="A37:F37"/>
    <mergeCell ref="C38:F38"/>
    <mergeCell ref="C39:F39"/>
    <mergeCell ref="C40:F40"/>
    <mergeCell ref="B42:C42"/>
    <mergeCell ref="D42:E42"/>
    <mergeCell ref="B43:C43"/>
    <mergeCell ref="D43:E43"/>
    <mergeCell ref="B44:C44"/>
    <mergeCell ref="D44:E44"/>
    <mergeCell ref="B45:C45"/>
    <mergeCell ref="D45:E45"/>
    <mergeCell ref="A47:F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3" min="2" style="1" width="17"/>
    <col collapsed="false" customWidth="true" hidden="false" outlineLevel="0" max="4" min="4" style="1" width="16"/>
    <col collapsed="false" customWidth="true" hidden="false" outlineLevel="0" max="5" min="5" style="1" width="15"/>
    <col collapsed="false" customWidth="true" hidden="false" outlineLevel="0" max="6" min="6" style="1" width="13"/>
    <col collapsed="false" customWidth="true" hidden="false" outlineLevel="0" max="7" min="7" style="1" width="17"/>
    <col collapsed="false" customWidth="true" hidden="false" outlineLevel="0" max="8" min="8" style="1" width="19"/>
    <col collapsed="false" customWidth="true" hidden="false" outlineLevel="0" max="9" min="9" style="1" width="17"/>
    <col collapsed="false" customWidth="true" hidden="false" outlineLevel="0" max="10" min="10" style="1" width="15"/>
    <col collapsed="false" customWidth="true" hidden="false" outlineLevel="0" max="14" min="11" style="1" width="18"/>
  </cols>
  <sheetData>
    <row r="1" customFormat="false" ht="34.5" hidden="false" customHeight="true" outlineLevel="0" collapsed="false">
      <c r="A1" s="55" t="s">
        <v>147</v>
      </c>
      <c r="B1" s="55"/>
      <c r="C1" s="55"/>
      <c r="D1" s="55"/>
      <c r="E1" s="55"/>
      <c r="F1" s="55"/>
      <c r="G1" s="55"/>
      <c r="H1" s="55"/>
      <c r="I1" s="55"/>
      <c r="J1" s="55"/>
      <c r="K1" s="55"/>
      <c r="L1" s="55"/>
      <c r="M1" s="4"/>
    </row>
    <row r="2" customFormat="false" ht="18" hidden="false" customHeight="true" outlineLevel="0" collapsed="false">
      <c r="A2" s="56" t="s">
        <v>148</v>
      </c>
      <c r="B2" s="56"/>
      <c r="C2" s="56"/>
      <c r="D2" s="56"/>
      <c r="E2" s="56"/>
      <c r="F2" s="56"/>
      <c r="G2" s="56"/>
      <c r="H2" s="56"/>
      <c r="I2" s="56"/>
      <c r="J2" s="56"/>
      <c r="K2" s="56"/>
      <c r="L2" s="56"/>
      <c r="M2" s="4"/>
    </row>
    <row r="3" customFormat="false" ht="42" hidden="false" customHeight="true" outlineLevel="0" collapsed="false">
      <c r="A3" s="32" t="s">
        <v>39</v>
      </c>
      <c r="B3" s="32" t="s">
        <v>41</v>
      </c>
      <c r="C3" s="32" t="s">
        <v>43</v>
      </c>
      <c r="D3" s="32" t="s">
        <v>45</v>
      </c>
      <c r="E3" s="32" t="s">
        <v>47</v>
      </c>
      <c r="F3" s="32" t="s">
        <v>49</v>
      </c>
      <c r="G3" s="32" t="s">
        <v>51</v>
      </c>
      <c r="H3" s="32" t="s">
        <v>53</v>
      </c>
      <c r="I3" s="32" t="s">
        <v>149</v>
      </c>
      <c r="J3" s="32" t="s">
        <v>57</v>
      </c>
      <c r="K3" s="32" t="s">
        <v>59</v>
      </c>
      <c r="L3" s="32" t="s">
        <v>61</v>
      </c>
      <c r="M3" s="32" t="s">
        <v>150</v>
      </c>
      <c r="N3" s="32" t="s">
        <v>151</v>
      </c>
    </row>
    <row r="4" customFormat="false" ht="36" hidden="false" customHeight="true" outlineLevel="0" collapsed="false">
      <c r="A4" s="57" t="s">
        <v>152</v>
      </c>
      <c r="B4" s="58" t="s">
        <v>153</v>
      </c>
      <c r="C4" s="58" t="s">
        <v>154</v>
      </c>
      <c r="D4" s="58" t="s">
        <v>155</v>
      </c>
      <c r="E4" s="58" t="s">
        <v>156</v>
      </c>
      <c r="F4" s="58" t="s">
        <v>157</v>
      </c>
      <c r="G4" s="58" t="s">
        <v>158</v>
      </c>
      <c r="H4" s="58" t="s">
        <v>159</v>
      </c>
      <c r="I4" s="59" t="s">
        <v>160</v>
      </c>
      <c r="J4" s="58" t="s">
        <v>161</v>
      </c>
      <c r="K4" s="58" t="s">
        <v>162</v>
      </c>
      <c r="L4" s="58" t="s">
        <v>163</v>
      </c>
      <c r="M4" s="57" t="s">
        <v>164</v>
      </c>
      <c r="N4" s="57" t="s">
        <v>165</v>
      </c>
    </row>
    <row r="5" customFormat="false" ht="24" hidden="false" customHeight="true" outlineLevel="0" collapsed="false">
      <c r="A5" s="60"/>
      <c r="B5" s="61" t="n">
        <f aca="false">IFERROR(INDEX(Stocks!$1:$1048576,4,MATCH("Total Portfolio",Stocks!$3:$3,0)),0)</f>
        <v>0</v>
      </c>
      <c r="C5" s="61" t="n">
        <f aca="false">IFERROR(INDEX(Cash!$1:$1048576,4,MATCH("Total Cash",Cash!$3:$3,0)),0)</f>
        <v>0</v>
      </c>
      <c r="D5" s="62" t="n">
        <f aca="false">IFERROR(INDEX(Debts!$1:$1048576,4,MATCH("Total Debts",Debts!$3:$3,0)),0)</f>
        <v>0</v>
      </c>
      <c r="E5" s="63" t="n">
        <v>0</v>
      </c>
      <c r="F5" s="64" t="n">
        <v>0</v>
      </c>
      <c r="G5" s="65" t="n">
        <f aca="false">E5*F5</f>
        <v>0</v>
      </c>
      <c r="H5" s="66" t="n">
        <f aca="false">B5+C5+G5-D5</f>
        <v>0</v>
      </c>
      <c r="I5" s="65" t="n">
        <f aca="false">E5*Settings!$D$44</f>
        <v>0</v>
      </c>
      <c r="J5" s="67" t="n">
        <f aca="false">IF(H5&gt;=I5,H5*0.025,0)</f>
        <v>0</v>
      </c>
      <c r="K5" s="66" t="str">
        <f aca="false">IF(A5="","",SUMIFS(Ledger!H$4:H$203,Ledger!B$4:B$203,"Zakat",Ledger!A$4:A$203,"&lt;="&amp;A5))</f>
        <v/>
      </c>
      <c r="L5" s="68" t="str">
        <f aca="false">IF(J5=0,"",J5-IF(K5="",0,K5))</f>
        <v/>
      </c>
      <c r="M5" s="69" t="str">
        <f aca="false">IF(J5=0,"",IF(L5&lt;=0,"✅ Paid in Full",IF(K5=0,"❌ Not Started","⚠️ Partially Paid")))</f>
        <v/>
      </c>
      <c r="N5" s="70" t="str">
        <f aca="false">IF(A5="","",0)</f>
        <v/>
      </c>
    </row>
    <row r="6" customFormat="false" ht="24" hidden="false" customHeight="true" outlineLevel="0" collapsed="false">
      <c r="A6" s="60"/>
      <c r="B6" s="61" t="n">
        <f aca="false">IFERROR(INDEX(Stocks!$1:$1048576,5,MATCH("Total Portfolio",Stocks!$3:$3,0)),0)</f>
        <v>0</v>
      </c>
      <c r="C6" s="61" t="n">
        <f aca="false">IFERROR(INDEX(Cash!$1:$1048576,5,MATCH("Total Cash",Cash!$3:$3,0)),0)</f>
        <v>0</v>
      </c>
      <c r="D6" s="62" t="n">
        <f aca="false">IFERROR(INDEX(Debts!$1:$1048576,5,MATCH("Total Debts",Debts!$3:$3,0)),0)</f>
        <v>0</v>
      </c>
      <c r="E6" s="63" t="n">
        <v>0</v>
      </c>
      <c r="F6" s="64" t="n">
        <v>0</v>
      </c>
      <c r="G6" s="65" t="n">
        <f aca="false">E6*F6</f>
        <v>0</v>
      </c>
      <c r="H6" s="66" t="n">
        <f aca="false">B6+C6+G6-D6</f>
        <v>0</v>
      </c>
      <c r="I6" s="65" t="n">
        <f aca="false">E6*Settings!$D$44</f>
        <v>0</v>
      </c>
      <c r="J6" s="67" t="n">
        <f aca="false">IF(H6&gt;=I6,H6*0.025,0)</f>
        <v>0</v>
      </c>
      <c r="K6" s="66" t="str">
        <f aca="false">IF(A6="","",SUMIFS(Ledger!H$4:H$203,Ledger!B$4:B$203,"Zakat",Ledger!A$4:A$203,"&gt;"&amp;A5,Ledger!A$4:A$203,"&lt;="&amp;A6))</f>
        <v/>
      </c>
      <c r="L6" s="68" t="str">
        <f aca="false">IF(J6=0,"",J6-IF(K6="",0,K6)+IF(L5="",0,L5))</f>
        <v/>
      </c>
      <c r="M6" s="69" t="str">
        <f aca="false">IF(J6=0,"",IF(L6&lt;=0,"✅ Paid in Full",IF(K6=0,"❌ Not Started","⚠️ Partially Paid")))</f>
        <v/>
      </c>
      <c r="N6" s="70" t="str">
        <f aca="false">IF(A6="","",IF(L5="",0,MAX(0,L5)))</f>
        <v/>
      </c>
    </row>
    <row r="7" customFormat="false" ht="24" hidden="false" customHeight="true" outlineLevel="0" collapsed="false">
      <c r="A7" s="60"/>
      <c r="B7" s="61" t="n">
        <f aca="false">IFERROR(INDEX(Stocks!$1:$1048576,6,MATCH("Total Portfolio",Stocks!$3:$3,0)),0)</f>
        <v>0</v>
      </c>
      <c r="C7" s="61" t="n">
        <f aca="false">IFERROR(INDEX(Cash!$1:$1048576,6,MATCH("Total Cash",Cash!$3:$3,0)),0)</f>
        <v>0</v>
      </c>
      <c r="D7" s="62" t="n">
        <f aca="false">IFERROR(INDEX(Debts!$1:$1048576,6,MATCH("Total Debts",Debts!$3:$3,0)),0)</f>
        <v>0</v>
      </c>
      <c r="E7" s="63" t="n">
        <v>0</v>
      </c>
      <c r="F7" s="64" t="n">
        <v>0</v>
      </c>
      <c r="G7" s="65" t="n">
        <f aca="false">E7*F7</f>
        <v>0</v>
      </c>
      <c r="H7" s="66" t="n">
        <f aca="false">B7+C7+G7-D7</f>
        <v>0</v>
      </c>
      <c r="I7" s="65" t="n">
        <f aca="false">E7*Settings!$D$44</f>
        <v>0</v>
      </c>
      <c r="J7" s="67" t="n">
        <f aca="false">IF(H7&gt;=I7,H7*0.025,0)</f>
        <v>0</v>
      </c>
      <c r="K7" s="66" t="str">
        <f aca="false">IF(A7="","",SUMIFS(Ledger!H$4:H$203,Ledger!B$4:B$203,"Zakat",Ledger!A$4:A$203,"&gt;"&amp;A6,Ledger!A$4:A$203,"&lt;="&amp;A7))</f>
        <v/>
      </c>
      <c r="L7" s="68" t="str">
        <f aca="false">IF(J7=0,"",J7-IF(K7="",0,K7)+IF(L6="",0,L6))</f>
        <v/>
      </c>
      <c r="M7" s="69" t="str">
        <f aca="false">IF(J7=0,"",IF(L7&lt;=0,"✅ Paid in Full",IF(K7=0,"❌ Not Started","⚠️ Partially Paid")))</f>
        <v/>
      </c>
      <c r="N7" s="70" t="str">
        <f aca="false">IF(A7="","",IF(L6="",0,MAX(0,L6)))</f>
        <v/>
      </c>
    </row>
    <row r="8" customFormat="false" ht="24" hidden="false" customHeight="true" outlineLevel="0" collapsed="false">
      <c r="A8" s="60"/>
      <c r="B8" s="61" t="n">
        <f aca="false">IFERROR(INDEX(Stocks!$1:$1048576,7,MATCH("Total Portfolio",Stocks!$3:$3,0)),0)</f>
        <v>0</v>
      </c>
      <c r="C8" s="61" t="n">
        <f aca="false">IFERROR(INDEX(Cash!$1:$1048576,7,MATCH("Total Cash",Cash!$3:$3,0)),0)</f>
        <v>0</v>
      </c>
      <c r="D8" s="62" t="n">
        <f aca="false">IFERROR(INDEX(Debts!$1:$1048576,7,MATCH("Total Debts",Debts!$3:$3,0)),0)</f>
        <v>0</v>
      </c>
      <c r="E8" s="63" t="n">
        <v>0</v>
      </c>
      <c r="F8" s="64" t="n">
        <v>0</v>
      </c>
      <c r="G8" s="65" t="n">
        <f aca="false">E8*F8</f>
        <v>0</v>
      </c>
      <c r="H8" s="66" t="n">
        <f aca="false">B8+C8+G8-D8</f>
        <v>0</v>
      </c>
      <c r="I8" s="65" t="n">
        <f aca="false">E8*Settings!$D$44</f>
        <v>0</v>
      </c>
      <c r="J8" s="67" t="n">
        <f aca="false">IF(H8&gt;=I8,H8*0.025,0)</f>
        <v>0</v>
      </c>
      <c r="K8" s="66" t="str">
        <f aca="false">IF(A8="","",SUMIFS(Ledger!H$4:H$203,Ledger!B$4:B$203,"Zakat",Ledger!A$4:A$203,"&gt;"&amp;A7,Ledger!A$4:A$203,"&lt;="&amp;A8))</f>
        <v/>
      </c>
      <c r="L8" s="68" t="str">
        <f aca="false">IF(J8=0,"",J8-IF(K8="",0,K8)+IF(L7="",0,L7))</f>
        <v/>
      </c>
      <c r="M8" s="69" t="str">
        <f aca="false">IF(J8=0,"",IF(L8&lt;=0,"✅ Paid in Full",IF(K8=0,"❌ Not Started","⚠️ Partially Paid")))</f>
        <v/>
      </c>
      <c r="N8" s="70" t="str">
        <f aca="false">IF(A8="","",IF(L7="",0,MAX(0,L7)))</f>
        <v/>
      </c>
    </row>
    <row r="9" customFormat="false" ht="24" hidden="false" customHeight="true" outlineLevel="0" collapsed="false">
      <c r="A9" s="60"/>
      <c r="B9" s="61" t="n">
        <f aca="false">IFERROR(INDEX(Stocks!$1:$1048576,8,MATCH("Total Portfolio",Stocks!$3:$3,0)),0)</f>
        <v>0</v>
      </c>
      <c r="C9" s="61" t="n">
        <f aca="false">IFERROR(INDEX(Cash!$1:$1048576,8,MATCH("Total Cash",Cash!$3:$3,0)),0)</f>
        <v>0</v>
      </c>
      <c r="D9" s="62" t="n">
        <f aca="false">IFERROR(INDEX(Debts!$1:$1048576,8,MATCH("Total Debts",Debts!$3:$3,0)),0)</f>
        <v>0</v>
      </c>
      <c r="E9" s="63" t="n">
        <v>0</v>
      </c>
      <c r="F9" s="64" t="n">
        <v>0</v>
      </c>
      <c r="G9" s="65" t="n">
        <f aca="false">E9*F9</f>
        <v>0</v>
      </c>
      <c r="H9" s="66" t="n">
        <f aca="false">B9+C9+G9-D9</f>
        <v>0</v>
      </c>
      <c r="I9" s="65" t="n">
        <f aca="false">E9*Settings!$D$44</f>
        <v>0</v>
      </c>
      <c r="J9" s="67" t="n">
        <f aca="false">IF(H9&gt;=I9,H9*0.025,0)</f>
        <v>0</v>
      </c>
      <c r="K9" s="66" t="str">
        <f aca="false">IF(A9="","",SUMIFS(Ledger!H$4:H$203,Ledger!B$4:B$203,"Zakat",Ledger!A$4:A$203,"&gt;"&amp;A8,Ledger!A$4:A$203,"&lt;="&amp;A9))</f>
        <v/>
      </c>
      <c r="L9" s="68" t="str">
        <f aca="false">IF(J9=0,"",J9-IF(K9="",0,K9)+IF(L8="",0,L8))</f>
        <v/>
      </c>
      <c r="M9" s="69" t="str">
        <f aca="false">IF(J9=0,"",IF(L9&lt;=0,"✅ Paid in Full",IF(K9=0,"❌ Not Started","⚠️ Partially Paid")))</f>
        <v/>
      </c>
      <c r="N9" s="70" t="str">
        <f aca="false">IF(A9="","",IF(L8="",0,MAX(0,L8)))</f>
        <v/>
      </c>
    </row>
    <row r="10" customFormat="false" ht="24" hidden="false" customHeight="true" outlineLevel="0" collapsed="false">
      <c r="A10" s="60"/>
      <c r="B10" s="61" t="n">
        <f aca="false">IFERROR(INDEX(Stocks!$1:$1048576,9,MATCH("Total Portfolio",Stocks!$3:$3,0)),0)</f>
        <v>0</v>
      </c>
      <c r="C10" s="61" t="n">
        <f aca="false">IFERROR(INDEX(Cash!$1:$1048576,9,MATCH("Total Cash",Cash!$3:$3,0)),0)</f>
        <v>0</v>
      </c>
      <c r="D10" s="62" t="n">
        <f aca="false">IFERROR(INDEX(Debts!$1:$1048576,9,MATCH("Total Debts",Debts!$3:$3,0)),0)</f>
        <v>0</v>
      </c>
      <c r="E10" s="63" t="n">
        <v>0</v>
      </c>
      <c r="F10" s="64" t="n">
        <v>0</v>
      </c>
      <c r="G10" s="65" t="n">
        <f aca="false">E10*F10</f>
        <v>0</v>
      </c>
      <c r="H10" s="66" t="n">
        <f aca="false">B10+C10+G10-D10</f>
        <v>0</v>
      </c>
      <c r="I10" s="65" t="n">
        <f aca="false">E10*Settings!$D$44</f>
        <v>0</v>
      </c>
      <c r="J10" s="67" t="n">
        <f aca="false">IF(H10&gt;=I10,H10*0.025,0)</f>
        <v>0</v>
      </c>
      <c r="K10" s="66" t="str">
        <f aca="false">IF(A10="","",SUMIFS(Ledger!H$4:H$203,Ledger!B$4:B$203,"Zakat",Ledger!A$4:A$203,"&gt;"&amp;A9,Ledger!A$4:A$203,"&lt;="&amp;A10))</f>
        <v/>
      </c>
      <c r="L10" s="68" t="str">
        <f aca="false">IF(J10=0,"",J10-IF(K10="",0,K10)+IF(L9="",0,L9))</f>
        <v/>
      </c>
      <c r="M10" s="69" t="str">
        <f aca="false">IF(J10=0,"",IF(L10&lt;=0,"✅ Paid in Full",IF(K10=0,"❌ Not Started","⚠️ Partially Paid")))</f>
        <v/>
      </c>
      <c r="N10" s="70" t="str">
        <f aca="false">IF(A10="","",IF(L9="",0,MAX(0,L9)))</f>
        <v/>
      </c>
    </row>
    <row r="11" customFormat="false" ht="24" hidden="false" customHeight="true" outlineLevel="0" collapsed="false">
      <c r="A11" s="60"/>
      <c r="B11" s="61" t="n">
        <f aca="false">IFERROR(INDEX(Stocks!$1:$1048576,10,MATCH("Total Portfolio",Stocks!$3:$3,0)),0)</f>
        <v>0</v>
      </c>
      <c r="C11" s="61" t="n">
        <f aca="false">IFERROR(INDEX(Cash!$1:$1048576,10,MATCH("Total Cash",Cash!$3:$3,0)),0)</f>
        <v>0</v>
      </c>
      <c r="D11" s="62" t="n">
        <f aca="false">IFERROR(INDEX(Debts!$1:$1048576,10,MATCH("Total Debts",Debts!$3:$3,0)),0)</f>
        <v>0</v>
      </c>
      <c r="E11" s="63" t="n">
        <v>0</v>
      </c>
      <c r="F11" s="64" t="n">
        <v>0</v>
      </c>
      <c r="G11" s="65" t="n">
        <f aca="false">E11*F11</f>
        <v>0</v>
      </c>
      <c r="H11" s="66" t="n">
        <f aca="false">B11+C11+G11-D11</f>
        <v>0</v>
      </c>
      <c r="I11" s="65" t="n">
        <f aca="false">E11*Settings!$D$44</f>
        <v>0</v>
      </c>
      <c r="J11" s="67" t="n">
        <f aca="false">IF(H11&gt;=I11,H11*0.025,0)</f>
        <v>0</v>
      </c>
      <c r="K11" s="66" t="str">
        <f aca="false">IF(A11="","",SUMIFS(Ledger!H$4:H$203,Ledger!B$4:B$203,"Zakat",Ledger!A$4:A$203,"&gt;"&amp;A10,Ledger!A$4:A$203,"&lt;="&amp;A11))</f>
        <v/>
      </c>
      <c r="L11" s="68" t="str">
        <f aca="false">IF(J11=0,"",J11-IF(K11="",0,K11)+IF(L10="",0,L10))</f>
        <v/>
      </c>
      <c r="M11" s="69" t="str">
        <f aca="false">IF(J11=0,"",IF(L11&lt;=0,"✅ Paid in Full",IF(K11=0,"❌ Not Started","⚠️ Partially Paid")))</f>
        <v/>
      </c>
      <c r="N11" s="70" t="str">
        <f aca="false">IF(A11="","",IF(L10="",0,MAX(0,L10)))</f>
        <v/>
      </c>
    </row>
    <row r="12" customFormat="false" ht="24" hidden="false" customHeight="true" outlineLevel="0" collapsed="false">
      <c r="A12" s="60"/>
      <c r="B12" s="61" t="n">
        <f aca="false">IFERROR(INDEX(Stocks!$1:$1048576,11,MATCH("Total Portfolio",Stocks!$3:$3,0)),0)</f>
        <v>0</v>
      </c>
      <c r="C12" s="61" t="n">
        <f aca="false">IFERROR(INDEX(Cash!$1:$1048576,11,MATCH("Total Cash",Cash!$3:$3,0)),0)</f>
        <v>0</v>
      </c>
      <c r="D12" s="62" t="n">
        <f aca="false">IFERROR(INDEX(Debts!$1:$1048576,11,MATCH("Total Debts",Debts!$3:$3,0)),0)</f>
        <v>0</v>
      </c>
      <c r="E12" s="63" t="n">
        <v>0</v>
      </c>
      <c r="F12" s="64" t="n">
        <v>0</v>
      </c>
      <c r="G12" s="65" t="n">
        <f aca="false">E12*F12</f>
        <v>0</v>
      </c>
      <c r="H12" s="66" t="n">
        <f aca="false">B12+C12+G12-D12</f>
        <v>0</v>
      </c>
      <c r="I12" s="65" t="n">
        <f aca="false">E12*Settings!$D$44</f>
        <v>0</v>
      </c>
      <c r="J12" s="67" t="n">
        <f aca="false">IF(H12&gt;=I12,H12*0.025,0)</f>
        <v>0</v>
      </c>
      <c r="K12" s="66" t="str">
        <f aca="false">IF(A12="","",SUMIFS(Ledger!H$4:H$203,Ledger!B$4:B$203,"Zakat",Ledger!A$4:A$203,"&gt;"&amp;A11,Ledger!A$4:A$203,"&lt;="&amp;A12))</f>
        <v/>
      </c>
      <c r="L12" s="68" t="str">
        <f aca="false">IF(J12=0,"",J12-IF(K12="",0,K12)+IF(L11="",0,L11))</f>
        <v/>
      </c>
      <c r="M12" s="69" t="str">
        <f aca="false">IF(J12=0,"",IF(L12&lt;=0,"✅ Paid in Full",IF(K12=0,"❌ Not Started","⚠️ Partially Paid")))</f>
        <v/>
      </c>
      <c r="N12" s="70" t="str">
        <f aca="false">IF(A12="","",IF(L11="",0,MAX(0,L11)))</f>
        <v/>
      </c>
    </row>
    <row r="13" customFormat="false" ht="24" hidden="false" customHeight="true" outlineLevel="0" collapsed="false">
      <c r="A13" s="60"/>
      <c r="B13" s="61" t="n">
        <f aca="false">IFERROR(INDEX(Stocks!$1:$1048576,12,MATCH("Total Portfolio",Stocks!$3:$3,0)),0)</f>
        <v>0</v>
      </c>
      <c r="C13" s="61" t="n">
        <f aca="false">IFERROR(INDEX(Cash!$1:$1048576,12,MATCH("Total Cash",Cash!$3:$3,0)),0)</f>
        <v>0</v>
      </c>
      <c r="D13" s="62" t="n">
        <f aca="false">IFERROR(INDEX(Debts!$1:$1048576,12,MATCH("Total Debts",Debts!$3:$3,0)),0)</f>
        <v>0</v>
      </c>
      <c r="E13" s="63" t="n">
        <v>0</v>
      </c>
      <c r="F13" s="64" t="n">
        <v>0</v>
      </c>
      <c r="G13" s="65" t="n">
        <f aca="false">E13*F13</f>
        <v>0</v>
      </c>
      <c r="H13" s="66" t="n">
        <f aca="false">B13+C13+G13-D13</f>
        <v>0</v>
      </c>
      <c r="I13" s="65" t="n">
        <f aca="false">E13*Settings!$D$44</f>
        <v>0</v>
      </c>
      <c r="J13" s="67" t="n">
        <f aca="false">IF(H13&gt;=I13,H13*0.025,0)</f>
        <v>0</v>
      </c>
      <c r="K13" s="66" t="str">
        <f aca="false">IF(A13="","",SUMIFS(Ledger!H$4:H$203,Ledger!B$4:B$203,"Zakat",Ledger!A$4:A$203,"&gt;"&amp;A12,Ledger!A$4:A$203,"&lt;="&amp;A13))</f>
        <v/>
      </c>
      <c r="L13" s="68" t="str">
        <f aca="false">IF(J13=0,"",J13-IF(K13="",0,K13)+IF(L12="",0,L12))</f>
        <v/>
      </c>
      <c r="M13" s="69" t="str">
        <f aca="false">IF(J13=0,"",IF(L13&lt;=0,"✅ Paid in Full",IF(K13=0,"❌ Not Started","⚠️ Partially Paid")))</f>
        <v/>
      </c>
      <c r="N13" s="70" t="str">
        <f aca="false">IF(A13="","",IF(L12="",0,MAX(0,L12)))</f>
        <v/>
      </c>
    </row>
    <row r="14" customFormat="false" ht="15" hidden="false" customHeight="true" outlineLevel="0" collapsed="false">
      <c r="A14" s="60"/>
      <c r="B14" s="61" t="n">
        <f aca="false">IFERROR(INDEX(Stocks!$1:$1048576,13,MATCH("Total Portfolio",Stocks!$3:$3,0)),0)</f>
        <v>0</v>
      </c>
      <c r="C14" s="61" t="n">
        <f aca="false">IFERROR(INDEX(Cash!$1:$1048576,13,MATCH("Total Cash",Cash!$3:$3,0)),0)</f>
        <v>0</v>
      </c>
      <c r="D14" s="62" t="n">
        <f aca="false">IFERROR(INDEX(Debts!$1:$1048576,13,MATCH("Total Debts",Debts!$3:$3,0)),0)</f>
        <v>0</v>
      </c>
      <c r="E14" s="63" t="n">
        <v>0</v>
      </c>
      <c r="F14" s="64" t="n">
        <v>0</v>
      </c>
      <c r="G14" s="65" t="n">
        <f aca="false">E14*F14</f>
        <v>0</v>
      </c>
      <c r="H14" s="66" t="n">
        <f aca="false">B14+C14+G14-D14</f>
        <v>0</v>
      </c>
      <c r="I14" s="65" t="n">
        <f aca="false">E14*Settings!$D$44</f>
        <v>0</v>
      </c>
      <c r="J14" s="67" t="n">
        <f aca="false">IF(H14&gt;=I14,H14*0.025,0)</f>
        <v>0</v>
      </c>
      <c r="K14" s="66" t="str">
        <f aca="false">IF(A14="","",SUMIFS(Ledger!H$4:H$203,Ledger!B$4:B$203,"Zakat",Ledger!A$4:A$203,"&gt;"&amp;A13,Ledger!A$4:A$203,"&lt;="&amp;A14))</f>
        <v/>
      </c>
      <c r="L14" s="68" t="str">
        <f aca="false">IF(J14=0,"",J14-IF(K14="",0,K14)+IF(L13="",0,L13))</f>
        <v/>
      </c>
      <c r="M14" s="69" t="str">
        <f aca="false">IF(J14=0,"",IF(L14&lt;=0,"✅ Paid in Full",IF(K14=0,"❌ Not Started","⚠️ Partially Paid")))</f>
        <v/>
      </c>
      <c r="N14" s="70" t="str">
        <f aca="false">IF(A14="","",IF(L13="",0,MAX(0,L13)))</f>
        <v/>
      </c>
    </row>
    <row r="15" customFormat="false" ht="15" hidden="false" customHeight="true" outlineLevel="0" collapsed="false">
      <c r="A15" s="4"/>
      <c r="B15" s="4"/>
      <c r="C15" s="4"/>
      <c r="D15" s="4"/>
      <c r="E15" s="4"/>
      <c r="F15" s="4"/>
      <c r="G15" s="4"/>
      <c r="H15" s="4"/>
      <c r="I15" s="4"/>
      <c r="J15" s="4"/>
      <c r="K15" s="4"/>
      <c r="L15" s="4"/>
      <c r="M15" s="4"/>
    </row>
    <row r="16" customFormat="false" ht="24" hidden="false" customHeight="true" outlineLevel="0" collapsed="false">
      <c r="A16" s="71"/>
      <c r="B16" s="71"/>
      <c r="C16" s="71"/>
      <c r="D16" s="71"/>
      <c r="E16" s="71"/>
      <c r="F16" s="71"/>
      <c r="G16" s="71"/>
      <c r="H16" s="71"/>
      <c r="I16" s="71"/>
      <c r="J16" s="71"/>
      <c r="K16" s="71"/>
      <c r="L16" s="71"/>
      <c r="M16" s="4"/>
    </row>
    <row r="17" customFormat="false" ht="30" hidden="false" customHeight="true" outlineLevel="0" collapsed="false">
      <c r="A17" s="72" t="s">
        <v>166</v>
      </c>
      <c r="B17" s="72"/>
      <c r="C17" s="73"/>
      <c r="D17" s="73"/>
      <c r="E17" s="73"/>
      <c r="F17" s="73"/>
      <c r="G17" s="73"/>
      <c r="H17" s="73"/>
      <c r="I17" s="73"/>
      <c r="J17" s="73"/>
      <c r="K17" s="73"/>
      <c r="L17" s="73"/>
      <c r="M17" s="4"/>
    </row>
    <row r="18" customFormat="false" ht="31.5" hidden="false" customHeight="true" outlineLevel="0" collapsed="false">
      <c r="A18" s="74" t="s">
        <v>167</v>
      </c>
      <c r="B18" s="74"/>
      <c r="C18" s="74" t="s">
        <v>168</v>
      </c>
      <c r="D18" s="74"/>
      <c r="E18" s="74" t="s">
        <v>169</v>
      </c>
      <c r="F18" s="74"/>
      <c r="G18" s="74" t="s">
        <v>170</v>
      </c>
      <c r="H18" s="74"/>
      <c r="I18" s="74" t="s">
        <v>171</v>
      </c>
      <c r="J18" s="74"/>
      <c r="K18" s="74" t="s">
        <v>172</v>
      </c>
      <c r="L18" s="74"/>
      <c r="M18" s="4"/>
    </row>
    <row r="19" customFormat="false" ht="15.75" hidden="false" customHeight="true" outlineLevel="0" collapsed="false">
      <c r="A19" s="75" t="n">
        <f aca="false">SUMIF(J5:J14,"&gt;"&amp;0,J5:J14)</f>
        <v>0</v>
      </c>
      <c r="B19" s="73"/>
      <c r="C19" s="76" t="n">
        <f aca="false">SUMIF(Ledger!B$4:B$203,"Zakat",Ledger!H$4:H$203)</f>
        <v>0</v>
      </c>
      <c r="D19" s="73"/>
      <c r="E19" s="77" t="n">
        <f aca="false">SUMIF(Ledger!B$4:B$203,"Sadaqah",Ledger!H$4:H$203)</f>
        <v>0</v>
      </c>
      <c r="F19" s="73"/>
      <c r="G19" s="78" t="n">
        <f aca="false">SUMIF(Ledger!B$4:B$203,"Fitrana",Ledger!H$4:H$203)</f>
        <v>0</v>
      </c>
      <c r="H19" s="73"/>
      <c r="I19" s="79" t="n">
        <f aca="false">SUMIF(Ledger!B$4:B$203,"Qurbani",Ledger!H$4:H$203)</f>
        <v>0</v>
      </c>
      <c r="J19" s="73"/>
      <c r="K19" s="80" t="n">
        <f aca="false">SUMIF(J5:J14,"&gt;"&amp;0,J5:J14)-SUMIF(Ledger!B$4:B$203,"Zakat",Ledger!H$4:H$203)</f>
        <v>0</v>
      </c>
      <c r="L19" s="73"/>
      <c r="M19" s="4"/>
    </row>
    <row r="20" customFormat="false" ht="9.75" hidden="false" customHeight="true" outlineLevel="0" collapsed="false">
      <c r="A20" s="4"/>
      <c r="B20" s="4"/>
      <c r="C20" s="4"/>
      <c r="D20" s="4"/>
      <c r="E20" s="4"/>
      <c r="F20" s="4"/>
      <c r="G20" s="4"/>
      <c r="H20" s="4"/>
      <c r="I20" s="4"/>
      <c r="J20" s="4"/>
      <c r="K20" s="4"/>
      <c r="L20" s="4"/>
      <c r="M20" s="4"/>
    </row>
    <row r="21" customFormat="false" ht="27.75" hidden="false" customHeight="true" outlineLevel="0" collapsed="false">
      <c r="A21" s="81" t="s">
        <v>173</v>
      </c>
      <c r="B21" s="81"/>
      <c r="C21" s="81"/>
      <c r="D21" s="81"/>
      <c r="E21" s="81"/>
      <c r="F21" s="81"/>
      <c r="G21" s="81"/>
      <c r="H21" s="81"/>
      <c r="I21" s="81"/>
      <c r="J21" s="81"/>
      <c r="K21" s="81"/>
      <c r="L21" s="81"/>
      <c r="M21" s="81"/>
      <c r="N21" s="81"/>
    </row>
    <row r="22" customFormat="false" ht="31.5" hidden="false" customHeight="true" outlineLevel="0" collapsed="false">
      <c r="A22" s="82" t="s">
        <v>174</v>
      </c>
      <c r="B22" s="82"/>
      <c r="C22" s="82"/>
      <c r="D22" s="82"/>
      <c r="E22" s="82"/>
      <c r="F22" s="82"/>
      <c r="G22" s="82"/>
      <c r="H22" s="82"/>
      <c r="I22" s="82"/>
      <c r="J22" s="82"/>
      <c r="K22" s="82"/>
      <c r="L22" s="82"/>
      <c r="M22" s="82"/>
      <c r="N22" s="82"/>
    </row>
    <row r="23" customFormat="false" ht="25.5" hidden="false" customHeight="true" outlineLevel="0" collapsed="false">
      <c r="A23" s="74" t="s">
        <v>175</v>
      </c>
      <c r="B23" s="74"/>
      <c r="C23" s="74" t="s">
        <v>176</v>
      </c>
      <c r="D23" s="74"/>
      <c r="E23" s="74" t="s">
        <v>177</v>
      </c>
      <c r="F23" s="74"/>
      <c r="G23" s="74" t="s">
        <v>150</v>
      </c>
      <c r="H23" s="74"/>
      <c r="I23" s="74"/>
      <c r="J23" s="74" t="s">
        <v>178</v>
      </c>
      <c r="K23" s="74"/>
      <c r="L23" s="4"/>
      <c r="M23" s="4"/>
    </row>
    <row r="24" customFormat="false" ht="36" hidden="false" customHeight="true" outlineLevel="0" collapsed="false">
      <c r="A24" s="83" t="str">
        <f aca="false">IF(COUNTA(A5:A14)=0,"No dates yet",MAX(A5:A14))</f>
        <v>No dates yet</v>
      </c>
      <c r="B24" s="83"/>
      <c r="C24" s="84" t="str">
        <f aca="false">IF(A24="No dates yet","",A24+354)</f>
        <v/>
      </c>
      <c r="D24" s="84"/>
      <c r="E24" s="85" t="str">
        <f aca="true">IF(C24="","",MAX(0,C24-TODAY()))</f>
        <v/>
      </c>
      <c r="F24" s="85"/>
      <c r="G24" s="86" t="str">
        <f aca="true">IF(C24="","",IF(TODAY()&gt;C24,"🕌 Zakat Due Now!",IF(C24-TODAY()&lt;=30,"⚠️ Due Soon (&lt; 30 days)","✅ Hawl in progress")))</f>
        <v/>
      </c>
      <c r="H24" s="86"/>
      <c r="I24" s="86"/>
      <c r="J24" s="87" t="n">
        <f aca="true">TODAY()</f>
        <v>46078</v>
      </c>
      <c r="K24" s="87"/>
      <c r="L24" s="4"/>
      <c r="M24" s="4"/>
    </row>
    <row r="25" customFormat="false" ht="19.5" hidden="false" customHeight="true" outlineLevel="0" collapsed="false">
      <c r="A25" s="4"/>
      <c r="B25" s="4"/>
      <c r="C25" s="4"/>
      <c r="D25" s="4"/>
      <c r="E25" s="4"/>
      <c r="F25" s="4"/>
      <c r="G25" s="4"/>
      <c r="H25" s="4"/>
      <c r="I25" s="4"/>
      <c r="J25" s="4"/>
      <c r="K25" s="4"/>
      <c r="L25" s="4"/>
      <c r="M25" s="4"/>
    </row>
    <row r="26" customFormat="false" ht="19.5" hidden="false" customHeight="true" outlineLevel="0" collapsed="false">
      <c r="A26" s="4"/>
      <c r="B26" s="4"/>
      <c r="C26" s="4"/>
      <c r="D26" s="4"/>
      <c r="E26" s="4"/>
      <c r="F26" s="4"/>
      <c r="G26" s="4"/>
      <c r="H26" s="4"/>
      <c r="I26" s="4"/>
      <c r="J26" s="4"/>
      <c r="K26" s="4"/>
      <c r="L26" s="4"/>
      <c r="M26" s="4"/>
    </row>
  </sheetData>
  <autoFilter ref="A3:M14"/>
  <mergeCells count="27">
    <mergeCell ref="A1:L1"/>
    <mergeCell ref="A2:L2"/>
    <mergeCell ref="A16:L16"/>
    <mergeCell ref="A17:B17"/>
    <mergeCell ref="C17:D17"/>
    <mergeCell ref="E17:F17"/>
    <mergeCell ref="G17:H17"/>
    <mergeCell ref="I17:J17"/>
    <mergeCell ref="K17:L17"/>
    <mergeCell ref="A18:B18"/>
    <mergeCell ref="C18:D18"/>
    <mergeCell ref="E18:F18"/>
    <mergeCell ref="G18:H18"/>
    <mergeCell ref="I18:J18"/>
    <mergeCell ref="K18:L18"/>
    <mergeCell ref="A21:N21"/>
    <mergeCell ref="A22:N22"/>
    <mergeCell ref="A23:B23"/>
    <mergeCell ref="C23:D23"/>
    <mergeCell ref="E23:F23"/>
    <mergeCell ref="G23:I23"/>
    <mergeCell ref="J23:K23"/>
    <mergeCell ref="A24:B24"/>
    <mergeCell ref="C24:D24"/>
    <mergeCell ref="E24:F24"/>
    <mergeCell ref="G24:I24"/>
    <mergeCell ref="J24:K24"/>
  </mergeCells>
  <conditionalFormatting sqref="M5:M14">
    <cfRule type="expression" priority="2" aboveAverage="0" equalAverage="0" bottom="0" percent="0" rank="0" text="" dxfId="15">
      <formula>NOT(ISERROR(SEARCH("✅",M5)))</formula>
    </cfRule>
    <cfRule type="expression" priority="3" aboveAverage="0" equalAverage="0" bottom="0" percent="0" rank="0" text="" dxfId="16">
      <formula>NOT(ISERROR(SEARCH("⚠️",M5)))</formula>
    </cfRule>
    <cfRule type="expression" priority="4" aboveAverage="0" equalAverage="0" bottom="0" percent="0" rank="0" text="" dxfId="17">
      <formula>NOT(ISERROR(SEARCH("❌",M5)))</formula>
    </cfRule>
  </conditionalFormatting>
  <conditionalFormatting sqref="A5:A14">
    <cfRule type="expression" priority="5" aboveAverage="0" equalAverage="0" bottom="0" percent="0" rank="0" text="" dxfId="18">
      <formula>AND(A5&lt;&gt;"",COUNTIF($A$5:$A$14,A5)&gt;1)</formula>
    </cfRule>
  </conditionalFormatting>
  <conditionalFormatting sqref="G24:I24">
    <cfRule type="expression" priority="6" aboveAverage="0" equalAverage="0" bottom="0" percent="0" rank="0" text="" dxfId="17">
      <formula>NOT(ISERROR(SEARCH("🕌",G24)))</formula>
    </cfRule>
    <cfRule type="expression" priority="7" aboveAverage="0" equalAverage="0" bottom="0" percent="0" rank="0" text="" dxfId="16">
      <formula>NOT(ISERROR(SEARCH("⚠️",G24)))</formula>
    </cfRule>
    <cfRule type="expression" priority="8" aboveAverage="0" equalAverage="0" bottom="0" percent="0" rank="0" text="" dxfId="15">
      <formula>NOT(ISERROR(SEARCH("✅",G24)))</formula>
    </cfRule>
  </conditionalFormatting>
  <conditionalFormatting sqref="N5:N14">
    <cfRule type="expression" priority="9" aboveAverage="0" equalAverage="0" bottom="0" percent="0" rank="0" text="" dxfId="17">
      <formula>AND(N5&lt;&gt;"",N5&gt;0)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1" width="18"/>
  </cols>
  <sheetData>
    <row r="1" customFormat="false" ht="34.5" hidden="false" customHeight="true" outlineLevel="0" collapsed="false">
      <c r="A1" s="55" t="s">
        <v>179</v>
      </c>
      <c r="B1" s="55"/>
      <c r="C1" s="55"/>
      <c r="D1" s="55"/>
      <c r="E1" s="55"/>
      <c r="F1" s="55"/>
      <c r="G1" s="55"/>
      <c r="H1" s="55"/>
    </row>
    <row r="2" customFormat="false" ht="18" hidden="false" customHeight="true" outlineLevel="0" collapsed="false">
      <c r="A2" s="56" t="s">
        <v>180</v>
      </c>
      <c r="B2" s="56"/>
      <c r="C2" s="56"/>
      <c r="D2" s="56"/>
      <c r="E2" s="56"/>
      <c r="F2" s="56"/>
      <c r="G2" s="56"/>
      <c r="H2" s="56"/>
    </row>
    <row r="3" customFormat="false" ht="30" hidden="false" customHeight="true" outlineLevel="0" collapsed="false">
      <c r="A3" s="32" t="s">
        <v>181</v>
      </c>
      <c r="B3" s="32" t="s">
        <v>182</v>
      </c>
      <c r="C3" s="32" t="s">
        <v>183</v>
      </c>
      <c r="D3" s="32" t="s">
        <v>184</v>
      </c>
      <c r="E3" s="32" t="s">
        <v>185</v>
      </c>
      <c r="F3" s="32" t="s">
        <v>186</v>
      </c>
      <c r="G3" s="32" t="s">
        <v>187</v>
      </c>
      <c r="H3" s="32" t="s">
        <v>188</v>
      </c>
    </row>
    <row r="4" customFormat="false" ht="21.75" hidden="false" customHeight="true" outlineLevel="0" collapsed="false">
      <c r="A4" s="60"/>
      <c r="B4" s="63" t="n">
        <v>0</v>
      </c>
      <c r="C4" s="63" t="n">
        <v>0</v>
      </c>
      <c r="D4" s="63" t="n">
        <v>0</v>
      </c>
      <c r="E4" s="63" t="n">
        <v>0</v>
      </c>
      <c r="F4" s="63" t="n">
        <v>0</v>
      </c>
      <c r="G4" s="63" t="n">
        <v>0</v>
      </c>
      <c r="H4" s="66" t="n">
        <f aca="false">SUM($B4:$G4)</f>
        <v>0</v>
      </c>
    </row>
    <row r="5" customFormat="false" ht="21.75" hidden="false" customHeight="true" outlineLevel="0" collapsed="false">
      <c r="A5" s="60"/>
      <c r="B5" s="63" t="n">
        <v>0</v>
      </c>
      <c r="C5" s="63" t="n">
        <v>0</v>
      </c>
      <c r="D5" s="63" t="n">
        <v>0</v>
      </c>
      <c r="E5" s="63" t="n">
        <v>0</v>
      </c>
      <c r="F5" s="63" t="n">
        <v>0</v>
      </c>
      <c r="G5" s="63" t="n">
        <v>0</v>
      </c>
      <c r="H5" s="66" t="n">
        <f aca="false">SUM($B5:$G5)</f>
        <v>0</v>
      </c>
    </row>
    <row r="6" customFormat="false" ht="21.75" hidden="false" customHeight="true" outlineLevel="0" collapsed="false">
      <c r="A6" s="60"/>
      <c r="B6" s="63" t="n">
        <v>0</v>
      </c>
      <c r="C6" s="63" t="n">
        <v>0</v>
      </c>
      <c r="D6" s="63" t="n">
        <v>0</v>
      </c>
      <c r="E6" s="63" t="n">
        <v>0</v>
      </c>
      <c r="F6" s="63" t="n">
        <v>0</v>
      </c>
      <c r="G6" s="63" t="n">
        <v>0</v>
      </c>
      <c r="H6" s="66" t="n">
        <f aca="false">SUM($B6:$G6)</f>
        <v>0</v>
      </c>
    </row>
    <row r="7" customFormat="false" ht="21.75" hidden="false" customHeight="true" outlineLevel="0" collapsed="false">
      <c r="A7" s="60"/>
      <c r="B7" s="63" t="n">
        <v>0</v>
      </c>
      <c r="C7" s="63" t="n">
        <v>0</v>
      </c>
      <c r="D7" s="63" t="n">
        <v>0</v>
      </c>
      <c r="E7" s="63" t="n">
        <v>0</v>
      </c>
      <c r="F7" s="63" t="n">
        <v>0</v>
      </c>
      <c r="G7" s="63" t="n">
        <v>0</v>
      </c>
      <c r="H7" s="66" t="n">
        <f aca="false">SUM($B7:$G7)</f>
        <v>0</v>
      </c>
    </row>
    <row r="8" customFormat="false" ht="21.75" hidden="false" customHeight="true" outlineLevel="0" collapsed="false">
      <c r="A8" s="60"/>
      <c r="B8" s="63" t="n">
        <v>0</v>
      </c>
      <c r="C8" s="63" t="n">
        <v>0</v>
      </c>
      <c r="D8" s="63" t="n">
        <v>0</v>
      </c>
      <c r="E8" s="63" t="n">
        <v>0</v>
      </c>
      <c r="F8" s="63" t="n">
        <v>0</v>
      </c>
      <c r="G8" s="63" t="n">
        <v>0</v>
      </c>
      <c r="H8" s="66" t="n">
        <f aca="false">SUM($B8:$G8)</f>
        <v>0</v>
      </c>
    </row>
    <row r="9" customFormat="false" ht="21.75" hidden="false" customHeight="true" outlineLevel="0" collapsed="false">
      <c r="A9" s="60"/>
      <c r="B9" s="63" t="n">
        <v>0</v>
      </c>
      <c r="C9" s="63" t="n">
        <v>0</v>
      </c>
      <c r="D9" s="63" t="n">
        <v>0</v>
      </c>
      <c r="E9" s="63" t="n">
        <v>0</v>
      </c>
      <c r="F9" s="63" t="n">
        <v>0</v>
      </c>
      <c r="G9" s="63" t="n">
        <v>0</v>
      </c>
      <c r="H9" s="66" t="n">
        <f aca="false">SUM($B9:$G9)</f>
        <v>0</v>
      </c>
    </row>
    <row r="10" customFormat="false" ht="21.75" hidden="false" customHeight="true" outlineLevel="0" collapsed="false">
      <c r="A10" s="60"/>
      <c r="B10" s="63" t="n">
        <v>0</v>
      </c>
      <c r="C10" s="63" t="n">
        <v>0</v>
      </c>
      <c r="D10" s="63" t="n">
        <v>0</v>
      </c>
      <c r="E10" s="63" t="n">
        <v>0</v>
      </c>
      <c r="F10" s="63" t="n">
        <v>0</v>
      </c>
      <c r="G10" s="63" t="n">
        <v>0</v>
      </c>
      <c r="H10" s="66" t="n">
        <f aca="false">SUM($B10:$G10)</f>
        <v>0</v>
      </c>
    </row>
    <row r="11" customFormat="false" ht="21.75" hidden="false" customHeight="true" outlineLevel="0" collapsed="false">
      <c r="A11" s="60"/>
      <c r="B11" s="63" t="n">
        <v>0</v>
      </c>
      <c r="C11" s="63" t="n">
        <v>0</v>
      </c>
      <c r="D11" s="63" t="n">
        <v>0</v>
      </c>
      <c r="E11" s="63" t="n">
        <v>0</v>
      </c>
      <c r="F11" s="63" t="n">
        <v>0</v>
      </c>
      <c r="G11" s="63" t="n">
        <v>0</v>
      </c>
      <c r="H11" s="66" t="n">
        <f aca="false">SUM($B11:$G11)</f>
        <v>0</v>
      </c>
    </row>
    <row r="12" customFormat="false" ht="21.75" hidden="false" customHeight="true" outlineLevel="0" collapsed="false">
      <c r="A12" s="60"/>
      <c r="B12" s="63" t="n">
        <v>0</v>
      </c>
      <c r="C12" s="63" t="n">
        <v>0</v>
      </c>
      <c r="D12" s="63" t="n">
        <v>0</v>
      </c>
      <c r="E12" s="63" t="n">
        <v>0</v>
      </c>
      <c r="F12" s="63" t="n">
        <v>0</v>
      </c>
      <c r="G12" s="63" t="n">
        <v>0</v>
      </c>
      <c r="H12" s="66" t="n">
        <f aca="false">SUM($B12:$G12)</f>
        <v>0</v>
      </c>
    </row>
    <row r="13" customFormat="false" ht="21.75" hidden="false" customHeight="true" outlineLevel="0" collapsed="false">
      <c r="A13" s="60"/>
      <c r="B13" s="63" t="n">
        <v>0</v>
      </c>
      <c r="C13" s="63" t="n">
        <v>0</v>
      </c>
      <c r="D13" s="63" t="n">
        <v>0</v>
      </c>
      <c r="E13" s="63" t="n">
        <v>0</v>
      </c>
      <c r="F13" s="63" t="n">
        <v>0</v>
      </c>
      <c r="G13" s="63" t="n">
        <v>0</v>
      </c>
      <c r="H13" s="66" t="n">
        <f aca="false">SUM($B13:$G13)</f>
        <v>0</v>
      </c>
    </row>
  </sheetData>
  <autoFilter ref="A3:H13"/>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1" width="18"/>
  </cols>
  <sheetData>
    <row r="1" customFormat="false" ht="34.5" hidden="false" customHeight="true" outlineLevel="0" collapsed="false">
      <c r="A1" s="55" t="s">
        <v>189</v>
      </c>
      <c r="B1" s="55"/>
      <c r="C1" s="55"/>
      <c r="D1" s="55"/>
      <c r="E1" s="55"/>
      <c r="F1" s="55"/>
      <c r="G1" s="55"/>
      <c r="H1" s="55"/>
    </row>
    <row r="2" customFormat="false" ht="18" hidden="false" customHeight="true" outlineLevel="0" collapsed="false">
      <c r="A2" s="56" t="s">
        <v>190</v>
      </c>
      <c r="B2" s="56"/>
      <c r="C2" s="56"/>
      <c r="D2" s="56"/>
      <c r="E2" s="56"/>
      <c r="F2" s="56"/>
      <c r="G2" s="56"/>
      <c r="H2" s="56"/>
    </row>
    <row r="3" customFormat="false" ht="30" hidden="false" customHeight="true" outlineLevel="0" collapsed="false">
      <c r="A3" s="32" t="s">
        <v>181</v>
      </c>
      <c r="B3" s="32" t="s">
        <v>191</v>
      </c>
      <c r="C3" s="32" t="s">
        <v>192</v>
      </c>
      <c r="D3" s="32" t="s">
        <v>193</v>
      </c>
      <c r="E3" s="32" t="s">
        <v>194</v>
      </c>
      <c r="F3" s="32" t="s">
        <v>195</v>
      </c>
      <c r="G3" s="32" t="s">
        <v>196</v>
      </c>
      <c r="H3" s="32" t="s">
        <v>197</v>
      </c>
    </row>
    <row r="4" customFormat="false" ht="21.75" hidden="false" customHeight="true" outlineLevel="0" collapsed="false">
      <c r="A4" s="60"/>
      <c r="B4" s="63" t="n">
        <v>0</v>
      </c>
      <c r="C4" s="63" t="n">
        <v>0</v>
      </c>
      <c r="D4" s="63" t="n">
        <v>0</v>
      </c>
      <c r="E4" s="63" t="n">
        <v>0</v>
      </c>
      <c r="F4" s="63" t="n">
        <v>0</v>
      </c>
      <c r="G4" s="63" t="n">
        <v>0</v>
      </c>
      <c r="H4" s="66" t="n">
        <f aca="false">SUM($B4:$G4)</f>
        <v>0</v>
      </c>
    </row>
    <row r="5" customFormat="false" ht="21.75" hidden="false" customHeight="true" outlineLevel="0" collapsed="false">
      <c r="A5" s="60"/>
      <c r="B5" s="63" t="n">
        <v>0</v>
      </c>
      <c r="C5" s="63" t="n">
        <v>0</v>
      </c>
      <c r="D5" s="63" t="n">
        <v>0</v>
      </c>
      <c r="E5" s="63" t="n">
        <v>0</v>
      </c>
      <c r="F5" s="63" t="n">
        <v>0</v>
      </c>
      <c r="G5" s="63" t="n">
        <v>0</v>
      </c>
      <c r="H5" s="66" t="n">
        <f aca="false">SUM($B5:$G5)</f>
        <v>0</v>
      </c>
    </row>
    <row r="6" customFormat="false" ht="21.75" hidden="false" customHeight="true" outlineLevel="0" collapsed="false">
      <c r="A6" s="60"/>
      <c r="B6" s="63" t="n">
        <v>0</v>
      </c>
      <c r="C6" s="63" t="n">
        <v>0</v>
      </c>
      <c r="D6" s="63" t="n">
        <v>0</v>
      </c>
      <c r="E6" s="63" t="n">
        <v>0</v>
      </c>
      <c r="F6" s="63" t="n">
        <v>0</v>
      </c>
      <c r="G6" s="63" t="n">
        <v>0</v>
      </c>
      <c r="H6" s="66" t="n">
        <f aca="false">SUM($B6:$G6)</f>
        <v>0</v>
      </c>
    </row>
    <row r="7" customFormat="false" ht="21.75" hidden="false" customHeight="true" outlineLevel="0" collapsed="false">
      <c r="A7" s="60"/>
      <c r="B7" s="63" t="n">
        <v>0</v>
      </c>
      <c r="C7" s="63" t="n">
        <v>0</v>
      </c>
      <c r="D7" s="63" t="n">
        <v>0</v>
      </c>
      <c r="E7" s="63" t="n">
        <v>0</v>
      </c>
      <c r="F7" s="63" t="n">
        <v>0</v>
      </c>
      <c r="G7" s="63" t="n">
        <v>0</v>
      </c>
      <c r="H7" s="66" t="n">
        <f aca="false">SUM($B7:$G7)</f>
        <v>0</v>
      </c>
    </row>
    <row r="8" customFormat="false" ht="21.75" hidden="false" customHeight="true" outlineLevel="0" collapsed="false">
      <c r="A8" s="60"/>
      <c r="B8" s="63" t="n">
        <v>0</v>
      </c>
      <c r="C8" s="63" t="n">
        <v>0</v>
      </c>
      <c r="D8" s="63" t="n">
        <v>0</v>
      </c>
      <c r="E8" s="63" t="n">
        <v>0</v>
      </c>
      <c r="F8" s="63" t="n">
        <v>0</v>
      </c>
      <c r="G8" s="63" t="n">
        <v>0</v>
      </c>
      <c r="H8" s="66" t="n">
        <f aca="false">SUM($B8:$G8)</f>
        <v>0</v>
      </c>
    </row>
    <row r="9" customFormat="false" ht="21.75" hidden="false" customHeight="true" outlineLevel="0" collapsed="false">
      <c r="A9" s="60"/>
      <c r="B9" s="63" t="n">
        <v>0</v>
      </c>
      <c r="C9" s="63" t="n">
        <v>0</v>
      </c>
      <c r="D9" s="63" t="n">
        <v>0</v>
      </c>
      <c r="E9" s="63" t="n">
        <v>0</v>
      </c>
      <c r="F9" s="63" t="n">
        <v>0</v>
      </c>
      <c r="G9" s="63" t="n">
        <v>0</v>
      </c>
      <c r="H9" s="66" t="n">
        <f aca="false">SUM($B9:$G9)</f>
        <v>0</v>
      </c>
    </row>
    <row r="10" customFormat="false" ht="21.75" hidden="false" customHeight="true" outlineLevel="0" collapsed="false">
      <c r="A10" s="60"/>
      <c r="B10" s="63" t="n">
        <v>0</v>
      </c>
      <c r="C10" s="63" t="n">
        <v>0</v>
      </c>
      <c r="D10" s="63" t="n">
        <v>0</v>
      </c>
      <c r="E10" s="63" t="n">
        <v>0</v>
      </c>
      <c r="F10" s="63" t="n">
        <v>0</v>
      </c>
      <c r="G10" s="63" t="n">
        <v>0</v>
      </c>
      <c r="H10" s="66" t="n">
        <f aca="false">SUM($B10:$G10)</f>
        <v>0</v>
      </c>
    </row>
    <row r="11" customFormat="false" ht="21.75" hidden="false" customHeight="true" outlineLevel="0" collapsed="false">
      <c r="A11" s="60"/>
      <c r="B11" s="63" t="n">
        <v>0</v>
      </c>
      <c r="C11" s="63" t="n">
        <v>0</v>
      </c>
      <c r="D11" s="63" t="n">
        <v>0</v>
      </c>
      <c r="E11" s="63" t="n">
        <v>0</v>
      </c>
      <c r="F11" s="63" t="n">
        <v>0</v>
      </c>
      <c r="G11" s="63" t="n">
        <v>0</v>
      </c>
      <c r="H11" s="66" t="n">
        <f aca="false">SUM($B11:$G11)</f>
        <v>0</v>
      </c>
    </row>
    <row r="12" customFormat="false" ht="21.75" hidden="false" customHeight="true" outlineLevel="0" collapsed="false">
      <c r="A12" s="60"/>
      <c r="B12" s="63" t="n">
        <v>0</v>
      </c>
      <c r="C12" s="63" t="n">
        <v>0</v>
      </c>
      <c r="D12" s="63" t="n">
        <v>0</v>
      </c>
      <c r="E12" s="63" t="n">
        <v>0</v>
      </c>
      <c r="F12" s="63" t="n">
        <v>0</v>
      </c>
      <c r="G12" s="63" t="n">
        <v>0</v>
      </c>
      <c r="H12" s="66" t="n">
        <f aca="false">SUM($B12:$G12)</f>
        <v>0</v>
      </c>
    </row>
    <row r="13" customFormat="false" ht="21.75" hidden="false" customHeight="true" outlineLevel="0" collapsed="false">
      <c r="A13" s="60"/>
      <c r="B13" s="63" t="n">
        <v>0</v>
      </c>
      <c r="C13" s="63" t="n">
        <v>0</v>
      </c>
      <c r="D13" s="63" t="n">
        <v>0</v>
      </c>
      <c r="E13" s="63" t="n">
        <v>0</v>
      </c>
      <c r="F13" s="63" t="n">
        <v>0</v>
      </c>
      <c r="G13" s="63" t="n">
        <v>0</v>
      </c>
      <c r="H13" s="66" t="n">
        <f aca="false">SUM($B13:$G13)</f>
        <v>0</v>
      </c>
    </row>
  </sheetData>
  <autoFilter ref="A3:H13"/>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1" width="18"/>
  </cols>
  <sheetData>
    <row r="1" customFormat="false" ht="34.5" hidden="false" customHeight="true" outlineLevel="0" collapsed="false">
      <c r="A1" s="55" t="s">
        <v>198</v>
      </c>
      <c r="B1" s="55"/>
      <c r="C1" s="55"/>
      <c r="D1" s="55"/>
      <c r="E1" s="55"/>
      <c r="F1" s="55"/>
      <c r="G1" s="55"/>
      <c r="H1" s="55"/>
    </row>
    <row r="2" customFormat="false" ht="18" hidden="false" customHeight="true" outlineLevel="0" collapsed="false">
      <c r="A2" s="56" t="s">
        <v>199</v>
      </c>
      <c r="B2" s="56"/>
      <c r="C2" s="56"/>
      <c r="D2" s="56"/>
      <c r="E2" s="56"/>
      <c r="F2" s="56"/>
      <c r="G2" s="56"/>
      <c r="H2" s="56"/>
    </row>
    <row r="3" customFormat="false" ht="30" hidden="false" customHeight="true" outlineLevel="0" collapsed="false">
      <c r="A3" s="32" t="s">
        <v>181</v>
      </c>
      <c r="B3" s="32" t="s">
        <v>200</v>
      </c>
      <c r="C3" s="32" t="s">
        <v>201</v>
      </c>
      <c r="D3" s="32" t="s">
        <v>202</v>
      </c>
      <c r="E3" s="32" t="s">
        <v>203</v>
      </c>
      <c r="F3" s="32" t="s">
        <v>204</v>
      </c>
      <c r="G3" s="32" t="s">
        <v>205</v>
      </c>
      <c r="H3" s="32" t="s">
        <v>206</v>
      </c>
    </row>
    <row r="4" customFormat="false" ht="21.75" hidden="false" customHeight="true" outlineLevel="0" collapsed="false">
      <c r="A4" s="60"/>
      <c r="B4" s="88" t="n">
        <v>0</v>
      </c>
      <c r="C4" s="88" t="n">
        <v>0</v>
      </c>
      <c r="D4" s="88" t="n">
        <v>0</v>
      </c>
      <c r="E4" s="88" t="n">
        <v>0</v>
      </c>
      <c r="F4" s="88" t="n">
        <v>0</v>
      </c>
      <c r="G4" s="88" t="n">
        <v>0</v>
      </c>
      <c r="H4" s="68" t="n">
        <f aca="false">SUM($B4:$G4)</f>
        <v>0</v>
      </c>
    </row>
    <row r="5" customFormat="false" ht="21.75" hidden="false" customHeight="true" outlineLevel="0" collapsed="false">
      <c r="A5" s="60"/>
      <c r="B5" s="88" t="n">
        <v>0</v>
      </c>
      <c r="C5" s="88" t="n">
        <v>0</v>
      </c>
      <c r="D5" s="88" t="n">
        <v>0</v>
      </c>
      <c r="E5" s="88" t="n">
        <v>0</v>
      </c>
      <c r="F5" s="88" t="n">
        <v>0</v>
      </c>
      <c r="G5" s="88" t="n">
        <v>0</v>
      </c>
      <c r="H5" s="68" t="n">
        <f aca="false">SUM($B5:$G5)</f>
        <v>0</v>
      </c>
    </row>
    <row r="6" customFormat="false" ht="21.75" hidden="false" customHeight="true" outlineLevel="0" collapsed="false">
      <c r="A6" s="60"/>
      <c r="B6" s="88" t="n">
        <v>0</v>
      </c>
      <c r="C6" s="88" t="n">
        <v>0</v>
      </c>
      <c r="D6" s="88" t="n">
        <v>0</v>
      </c>
      <c r="E6" s="88" t="n">
        <v>0</v>
      </c>
      <c r="F6" s="88" t="n">
        <v>0</v>
      </c>
      <c r="G6" s="88" t="n">
        <v>0</v>
      </c>
      <c r="H6" s="68" t="n">
        <f aca="false">SUM($B6:$G6)</f>
        <v>0</v>
      </c>
    </row>
    <row r="7" customFormat="false" ht="21.75" hidden="false" customHeight="true" outlineLevel="0" collapsed="false">
      <c r="A7" s="60"/>
      <c r="B7" s="88" t="n">
        <v>0</v>
      </c>
      <c r="C7" s="88" t="n">
        <v>0</v>
      </c>
      <c r="D7" s="88" t="n">
        <v>0</v>
      </c>
      <c r="E7" s="88" t="n">
        <v>0</v>
      </c>
      <c r="F7" s="88" t="n">
        <v>0</v>
      </c>
      <c r="G7" s="88" t="n">
        <v>0</v>
      </c>
      <c r="H7" s="68" t="n">
        <f aca="false">SUM($B7:$G7)</f>
        <v>0</v>
      </c>
    </row>
    <row r="8" customFormat="false" ht="21.75" hidden="false" customHeight="true" outlineLevel="0" collapsed="false">
      <c r="A8" s="60"/>
      <c r="B8" s="88" t="n">
        <v>0</v>
      </c>
      <c r="C8" s="88" t="n">
        <v>0</v>
      </c>
      <c r="D8" s="88" t="n">
        <v>0</v>
      </c>
      <c r="E8" s="88" t="n">
        <v>0</v>
      </c>
      <c r="F8" s="88" t="n">
        <v>0</v>
      </c>
      <c r="G8" s="88" t="n">
        <v>0</v>
      </c>
      <c r="H8" s="68" t="n">
        <f aca="false">SUM($B8:$G8)</f>
        <v>0</v>
      </c>
    </row>
    <row r="9" customFormat="false" ht="21.75" hidden="false" customHeight="true" outlineLevel="0" collapsed="false">
      <c r="A9" s="60"/>
      <c r="B9" s="88" t="n">
        <v>0</v>
      </c>
      <c r="C9" s="88" t="n">
        <v>0</v>
      </c>
      <c r="D9" s="88" t="n">
        <v>0</v>
      </c>
      <c r="E9" s="88" t="n">
        <v>0</v>
      </c>
      <c r="F9" s="88" t="n">
        <v>0</v>
      </c>
      <c r="G9" s="88" t="n">
        <v>0</v>
      </c>
      <c r="H9" s="68" t="n">
        <f aca="false">SUM($B9:$G9)</f>
        <v>0</v>
      </c>
    </row>
    <row r="10" customFormat="false" ht="21.75" hidden="false" customHeight="true" outlineLevel="0" collapsed="false">
      <c r="A10" s="60"/>
      <c r="B10" s="88" t="n">
        <v>0</v>
      </c>
      <c r="C10" s="88" t="n">
        <v>0</v>
      </c>
      <c r="D10" s="88" t="n">
        <v>0</v>
      </c>
      <c r="E10" s="88" t="n">
        <v>0</v>
      </c>
      <c r="F10" s="88" t="n">
        <v>0</v>
      </c>
      <c r="G10" s="88" t="n">
        <v>0</v>
      </c>
      <c r="H10" s="68" t="n">
        <f aca="false">SUM($B10:$G10)</f>
        <v>0</v>
      </c>
    </row>
    <row r="11" customFormat="false" ht="21.75" hidden="false" customHeight="true" outlineLevel="0" collapsed="false">
      <c r="A11" s="60"/>
      <c r="B11" s="88" t="n">
        <v>0</v>
      </c>
      <c r="C11" s="88" t="n">
        <v>0</v>
      </c>
      <c r="D11" s="88" t="n">
        <v>0</v>
      </c>
      <c r="E11" s="88" t="n">
        <v>0</v>
      </c>
      <c r="F11" s="88" t="n">
        <v>0</v>
      </c>
      <c r="G11" s="88" t="n">
        <v>0</v>
      </c>
      <c r="H11" s="68" t="n">
        <f aca="false">SUM($B11:$G11)</f>
        <v>0</v>
      </c>
    </row>
    <row r="12" customFormat="false" ht="21.75" hidden="false" customHeight="true" outlineLevel="0" collapsed="false">
      <c r="A12" s="60"/>
      <c r="B12" s="88" t="n">
        <v>0</v>
      </c>
      <c r="C12" s="88" t="n">
        <v>0</v>
      </c>
      <c r="D12" s="88" t="n">
        <v>0</v>
      </c>
      <c r="E12" s="88" t="n">
        <v>0</v>
      </c>
      <c r="F12" s="88" t="n">
        <v>0</v>
      </c>
      <c r="G12" s="88" t="n">
        <v>0</v>
      </c>
      <c r="H12" s="68" t="n">
        <f aca="false">SUM($B12:$G12)</f>
        <v>0</v>
      </c>
    </row>
    <row r="13" customFormat="false" ht="21.75" hidden="false" customHeight="true" outlineLevel="0" collapsed="false">
      <c r="A13" s="60"/>
      <c r="B13" s="88" t="n">
        <v>0</v>
      </c>
      <c r="C13" s="88" t="n">
        <v>0</v>
      </c>
      <c r="D13" s="88" t="n">
        <v>0</v>
      </c>
      <c r="E13" s="88" t="n">
        <v>0</v>
      </c>
      <c r="F13" s="88" t="n">
        <v>0</v>
      </c>
      <c r="G13" s="88" t="n">
        <v>0</v>
      </c>
      <c r="H13" s="68" t="n">
        <f aca="false">SUM($B13:$G13)</f>
        <v>0</v>
      </c>
    </row>
  </sheetData>
  <autoFilter ref="A3:H13"/>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4"/>
    <col collapsed="false" customWidth="true" hidden="false" outlineLevel="0" max="3" min="3" style="1" width="16"/>
    <col collapsed="false" customWidth="true" hidden="false" outlineLevel="0" max="4" min="4" style="1" width="22"/>
    <col collapsed="false" customWidth="true" hidden="false" outlineLevel="0" max="5" min="5" style="1" width="30"/>
    <col collapsed="false" customWidth="true" hidden="false" outlineLevel="0" max="6" min="6" style="1" width="14"/>
    <col collapsed="false" customWidth="true" hidden="false" outlineLevel="0" max="7" min="7" style="1" width="12"/>
    <col collapsed="false" customWidth="true" hidden="false" outlineLevel="0" max="8" min="8" style="1" width="16"/>
    <col collapsed="false" customWidth="true" hidden="false" outlineLevel="0" max="9" min="9" style="1" width="18"/>
  </cols>
  <sheetData>
    <row r="1" customFormat="false" ht="30" hidden="false" customHeight="true" outlineLevel="0" collapsed="false">
      <c r="A1" s="89" t="s">
        <v>207</v>
      </c>
      <c r="B1" s="89"/>
      <c r="C1" s="90"/>
      <c r="D1" s="90"/>
      <c r="E1" s="90"/>
      <c r="F1" s="90"/>
      <c r="G1" s="90"/>
      <c r="H1" s="90"/>
      <c r="I1" s="90"/>
    </row>
    <row r="2" customFormat="false" ht="19.5" hidden="false" customHeight="true" outlineLevel="0" collapsed="false">
      <c r="A2" s="91" t="str">
        <f aca="false">IF(C1="","All entries shown",COUNTIF(D6:D205,"*"&amp;C1&amp;"*")+COUNTIF(E6:E205,"*"&amp;C1&amp;"*")+COUNTIF(B6:B205,"*"&amp;C1&amp;"*")&amp;" matching rows highlighted")</f>
        <v>All entries shown</v>
      </c>
      <c r="B2" s="91"/>
      <c r="C2" s="91"/>
      <c r="D2" s="91"/>
      <c r="E2" s="91"/>
      <c r="F2" s="91"/>
      <c r="G2" s="91"/>
      <c r="H2" s="91"/>
      <c r="I2" s="91"/>
    </row>
    <row r="3" customFormat="false" ht="27.75" hidden="false" customHeight="true" outlineLevel="0" collapsed="false">
      <c r="A3" s="92" t="s">
        <v>208</v>
      </c>
      <c r="B3" s="92"/>
      <c r="C3" s="92"/>
      <c r="D3" s="92"/>
      <c r="E3" s="92"/>
      <c r="F3" s="92"/>
      <c r="G3" s="92"/>
      <c r="H3" s="92"/>
      <c r="I3" s="92"/>
    </row>
    <row r="4" customFormat="false" ht="19.5" hidden="false" customHeight="true" outlineLevel="0" collapsed="false">
      <c r="A4" s="93" t="s">
        <v>209</v>
      </c>
      <c r="B4" s="4"/>
      <c r="C4" s="4"/>
      <c r="D4" s="4"/>
      <c r="E4" s="4"/>
      <c r="F4" s="4"/>
      <c r="G4" s="4"/>
      <c r="H4" s="4"/>
      <c r="I4" s="4"/>
    </row>
    <row r="5" customFormat="false" ht="19.5" hidden="false" customHeight="true" outlineLevel="0" collapsed="false">
      <c r="A5" s="94" t="s">
        <v>181</v>
      </c>
      <c r="B5" s="94" t="s">
        <v>210</v>
      </c>
      <c r="C5" s="94" t="s">
        <v>211</v>
      </c>
      <c r="D5" s="94" t="s">
        <v>212</v>
      </c>
      <c r="E5" s="94" t="s">
        <v>213</v>
      </c>
      <c r="F5" s="94" t="s">
        <v>214</v>
      </c>
      <c r="G5" s="94" t="s">
        <v>215</v>
      </c>
      <c r="H5" s="94" t="s">
        <v>216</v>
      </c>
      <c r="I5" s="94" t="s">
        <v>217</v>
      </c>
    </row>
    <row r="6" customFormat="false" ht="19.5" hidden="false" customHeight="true" outlineLevel="0" collapsed="false">
      <c r="A6" s="95"/>
      <c r="B6" s="96"/>
      <c r="C6" s="96"/>
      <c r="D6" s="97"/>
      <c r="E6" s="98"/>
      <c r="F6" s="99" t="n">
        <v>0</v>
      </c>
      <c r="G6" s="99" t="n">
        <v>0</v>
      </c>
      <c r="H6" s="100" t="str">
        <f aca="false">IF(F6+G6=0,"",F6+G6)</f>
        <v/>
      </c>
      <c r="I6" s="101" t="str">
        <f aca="false">IF(H6="","",H6)</f>
        <v/>
      </c>
    </row>
    <row r="7" customFormat="false" ht="19.5" hidden="false" customHeight="true" outlineLevel="0" collapsed="false">
      <c r="A7" s="102"/>
      <c r="B7" s="103"/>
      <c r="C7" s="103"/>
      <c r="D7" s="104"/>
      <c r="E7" s="105"/>
      <c r="F7" s="106" t="n">
        <v>0</v>
      </c>
      <c r="G7" s="106" t="n">
        <v>0</v>
      </c>
      <c r="H7" s="107" t="str">
        <f aca="false">IF(F7+G7=0,"",F7+G7)</f>
        <v/>
      </c>
      <c r="I7" s="108" t="str">
        <f aca="false">IF(H7="","",IF(I6="",H7,I6+H7))</f>
        <v/>
      </c>
    </row>
    <row r="8" customFormat="false" ht="19.5" hidden="false" customHeight="true" outlineLevel="0" collapsed="false">
      <c r="A8" s="95"/>
      <c r="B8" s="96"/>
      <c r="C8" s="96"/>
      <c r="D8" s="97"/>
      <c r="E8" s="98"/>
      <c r="F8" s="99" t="n">
        <v>0</v>
      </c>
      <c r="G8" s="99" t="n">
        <v>0</v>
      </c>
      <c r="H8" s="100" t="str">
        <f aca="false">IF(F8+G8=0,"",F8+G8)</f>
        <v/>
      </c>
      <c r="I8" s="101" t="str">
        <f aca="false">IF(H8="","",IF(I7="",H8,I7+H8))</f>
        <v/>
      </c>
    </row>
    <row r="9" customFormat="false" ht="19.5" hidden="false" customHeight="true" outlineLevel="0" collapsed="false">
      <c r="A9" s="102"/>
      <c r="B9" s="103"/>
      <c r="C9" s="103"/>
      <c r="D9" s="104"/>
      <c r="E9" s="105"/>
      <c r="F9" s="106" t="n">
        <v>0</v>
      </c>
      <c r="G9" s="106" t="n">
        <v>0</v>
      </c>
      <c r="H9" s="107" t="str">
        <f aca="false">IF(F9+G9=0,"",F9+G9)</f>
        <v/>
      </c>
      <c r="I9" s="108" t="str">
        <f aca="false">IF(H9="","",IF(I8="",H9,I8+H9))</f>
        <v/>
      </c>
    </row>
    <row r="10" customFormat="false" ht="19.5" hidden="false" customHeight="true" outlineLevel="0" collapsed="false">
      <c r="A10" s="95"/>
      <c r="B10" s="96"/>
      <c r="C10" s="96"/>
      <c r="D10" s="97"/>
      <c r="E10" s="98"/>
      <c r="F10" s="99" t="n">
        <v>0</v>
      </c>
      <c r="G10" s="99" t="n">
        <v>0</v>
      </c>
      <c r="H10" s="100" t="str">
        <f aca="false">IF(F10+G10=0,"",F10+G10)</f>
        <v/>
      </c>
      <c r="I10" s="101" t="str">
        <f aca="false">IF(H10="","",IF(I9="",H10,I9+H10))</f>
        <v/>
      </c>
    </row>
    <row r="11" customFormat="false" ht="19.5" hidden="false" customHeight="true" outlineLevel="0" collapsed="false">
      <c r="A11" s="102"/>
      <c r="B11" s="103"/>
      <c r="C11" s="103"/>
      <c r="D11" s="104"/>
      <c r="E11" s="105"/>
      <c r="F11" s="106" t="n">
        <v>0</v>
      </c>
      <c r="G11" s="106" t="n">
        <v>0</v>
      </c>
      <c r="H11" s="107" t="str">
        <f aca="false">IF(F11+G11=0,"",F11+G11)</f>
        <v/>
      </c>
      <c r="I11" s="108" t="str">
        <f aca="false">IF(H11="","",IF(I10="",H11,I10+H11))</f>
        <v/>
      </c>
    </row>
    <row r="12" customFormat="false" ht="19.5" hidden="false" customHeight="true" outlineLevel="0" collapsed="false">
      <c r="A12" s="95"/>
      <c r="B12" s="96"/>
      <c r="C12" s="96"/>
      <c r="D12" s="97"/>
      <c r="E12" s="98"/>
      <c r="F12" s="99" t="n">
        <v>0</v>
      </c>
      <c r="G12" s="99" t="n">
        <v>0</v>
      </c>
      <c r="H12" s="100" t="str">
        <f aca="false">IF(F12+G12=0,"",F12+G12)</f>
        <v/>
      </c>
      <c r="I12" s="101" t="str">
        <f aca="false">IF(H12="","",IF(I11="",H12,I11+H12))</f>
        <v/>
      </c>
    </row>
    <row r="13" customFormat="false" ht="19.5" hidden="false" customHeight="true" outlineLevel="0" collapsed="false">
      <c r="A13" s="102"/>
      <c r="B13" s="103"/>
      <c r="C13" s="103"/>
      <c r="D13" s="104"/>
      <c r="E13" s="105"/>
      <c r="F13" s="106" t="n">
        <v>0</v>
      </c>
      <c r="G13" s="106" t="n">
        <v>0</v>
      </c>
      <c r="H13" s="107" t="str">
        <f aca="false">IF(F13+G13=0,"",F13+G13)</f>
        <v/>
      </c>
      <c r="I13" s="108" t="str">
        <f aca="false">IF(H13="","",IF(I12="",H13,I12+H13))</f>
        <v/>
      </c>
    </row>
    <row r="14" customFormat="false" ht="19.5" hidden="false" customHeight="true" outlineLevel="0" collapsed="false">
      <c r="A14" s="95"/>
      <c r="B14" s="96"/>
      <c r="C14" s="96"/>
      <c r="D14" s="97"/>
      <c r="E14" s="98"/>
      <c r="F14" s="99" t="n">
        <v>0</v>
      </c>
      <c r="G14" s="99" t="n">
        <v>0</v>
      </c>
      <c r="H14" s="100" t="str">
        <f aca="false">IF(F14+G14=0,"",F14+G14)</f>
        <v/>
      </c>
      <c r="I14" s="101" t="str">
        <f aca="false">IF(H14="","",IF(I13="",H14,I13+H14))</f>
        <v/>
      </c>
    </row>
    <row r="15" customFormat="false" ht="19.5" hidden="false" customHeight="true" outlineLevel="0" collapsed="false">
      <c r="A15" s="102"/>
      <c r="B15" s="103"/>
      <c r="C15" s="103"/>
      <c r="D15" s="104"/>
      <c r="E15" s="105"/>
      <c r="F15" s="106" t="n">
        <v>0</v>
      </c>
      <c r="G15" s="106" t="n">
        <v>0</v>
      </c>
      <c r="H15" s="107" t="str">
        <f aca="false">IF(F15+G15=0,"",F15+G15)</f>
        <v/>
      </c>
      <c r="I15" s="108" t="str">
        <f aca="false">IF(H15="","",IF(I14="",H15,I14+H15))</f>
        <v/>
      </c>
    </row>
    <row r="16" customFormat="false" ht="19.5" hidden="false" customHeight="true" outlineLevel="0" collapsed="false">
      <c r="A16" s="95"/>
      <c r="B16" s="96"/>
      <c r="C16" s="96"/>
      <c r="D16" s="97"/>
      <c r="E16" s="98"/>
      <c r="F16" s="99" t="n">
        <v>0</v>
      </c>
      <c r="G16" s="99" t="n">
        <v>0</v>
      </c>
      <c r="H16" s="100" t="str">
        <f aca="false">IF(F16+G16=0,"",F16+G16)</f>
        <v/>
      </c>
      <c r="I16" s="101" t="str">
        <f aca="false">IF(H16="","",IF(I15="",H16,I15+H16))</f>
        <v/>
      </c>
    </row>
    <row r="17" customFormat="false" ht="19.5" hidden="false" customHeight="true" outlineLevel="0" collapsed="false">
      <c r="A17" s="102"/>
      <c r="B17" s="103"/>
      <c r="C17" s="103"/>
      <c r="D17" s="104"/>
      <c r="E17" s="105"/>
      <c r="F17" s="106" t="n">
        <v>0</v>
      </c>
      <c r="G17" s="106" t="n">
        <v>0</v>
      </c>
      <c r="H17" s="107" t="str">
        <f aca="false">IF(F17+G17=0,"",F17+G17)</f>
        <v/>
      </c>
      <c r="I17" s="108" t="str">
        <f aca="false">IF(H17="","",IF(I16="",H17,I16+H17))</f>
        <v/>
      </c>
    </row>
    <row r="18" customFormat="false" ht="19.5" hidden="false" customHeight="true" outlineLevel="0" collapsed="false">
      <c r="A18" s="95"/>
      <c r="B18" s="96"/>
      <c r="C18" s="96"/>
      <c r="D18" s="97"/>
      <c r="E18" s="98"/>
      <c r="F18" s="99" t="n">
        <v>0</v>
      </c>
      <c r="G18" s="99" t="n">
        <v>0</v>
      </c>
      <c r="H18" s="100" t="str">
        <f aca="false">IF(F18+G18=0,"",F18+G18)</f>
        <v/>
      </c>
      <c r="I18" s="101" t="str">
        <f aca="false">IF(H18="","",IF(I17="",H18,I17+H18))</f>
        <v/>
      </c>
    </row>
    <row r="19" customFormat="false" ht="19.5" hidden="false" customHeight="true" outlineLevel="0" collapsed="false">
      <c r="A19" s="102"/>
      <c r="B19" s="103"/>
      <c r="C19" s="103"/>
      <c r="D19" s="104"/>
      <c r="E19" s="105"/>
      <c r="F19" s="106" t="n">
        <v>0</v>
      </c>
      <c r="G19" s="106" t="n">
        <v>0</v>
      </c>
      <c r="H19" s="107" t="str">
        <f aca="false">IF(F19+G19=0,"",F19+G19)</f>
        <v/>
      </c>
      <c r="I19" s="108" t="str">
        <f aca="false">IF(H19="","",IF(I18="",H19,I18+H19))</f>
        <v/>
      </c>
    </row>
    <row r="20" customFormat="false" ht="19.5" hidden="false" customHeight="true" outlineLevel="0" collapsed="false">
      <c r="A20" s="95"/>
      <c r="B20" s="96"/>
      <c r="C20" s="96"/>
      <c r="D20" s="97"/>
      <c r="E20" s="98"/>
      <c r="F20" s="99" t="n">
        <v>0</v>
      </c>
      <c r="G20" s="99" t="n">
        <v>0</v>
      </c>
      <c r="H20" s="100" t="str">
        <f aca="false">IF(F20+G20=0,"",F20+G20)</f>
        <v/>
      </c>
      <c r="I20" s="101" t="str">
        <f aca="false">IF(H20="","",IF(I19="",H20,I19+H20))</f>
        <v/>
      </c>
    </row>
    <row r="21" customFormat="false" ht="19.5" hidden="false" customHeight="true" outlineLevel="0" collapsed="false">
      <c r="A21" s="102"/>
      <c r="B21" s="103"/>
      <c r="C21" s="103"/>
      <c r="D21" s="104"/>
      <c r="E21" s="105"/>
      <c r="F21" s="106" t="n">
        <v>0</v>
      </c>
      <c r="G21" s="106" t="n">
        <v>0</v>
      </c>
      <c r="H21" s="107" t="str">
        <f aca="false">IF(F21+G21=0,"",F21+G21)</f>
        <v/>
      </c>
      <c r="I21" s="108" t="str">
        <f aca="false">IF(H21="","",IF(I20="",H21,I20+H21))</f>
        <v/>
      </c>
    </row>
    <row r="22" customFormat="false" ht="19.5" hidden="false" customHeight="true" outlineLevel="0" collapsed="false">
      <c r="A22" s="95"/>
      <c r="B22" s="96"/>
      <c r="C22" s="96"/>
      <c r="D22" s="97"/>
      <c r="E22" s="98"/>
      <c r="F22" s="99" t="n">
        <v>0</v>
      </c>
      <c r="G22" s="99" t="n">
        <v>0</v>
      </c>
      <c r="H22" s="100" t="str">
        <f aca="false">IF(F22+G22=0,"",F22+G22)</f>
        <v/>
      </c>
      <c r="I22" s="101" t="str">
        <f aca="false">IF(H22="","",IF(I21="",H22,I21+H22))</f>
        <v/>
      </c>
    </row>
    <row r="23" customFormat="false" ht="19.5" hidden="false" customHeight="true" outlineLevel="0" collapsed="false">
      <c r="A23" s="102"/>
      <c r="B23" s="103"/>
      <c r="C23" s="103"/>
      <c r="D23" s="104"/>
      <c r="E23" s="105"/>
      <c r="F23" s="106" t="n">
        <v>0</v>
      </c>
      <c r="G23" s="106" t="n">
        <v>0</v>
      </c>
      <c r="H23" s="107" t="str">
        <f aca="false">IF(F23+G23=0,"",F23+G23)</f>
        <v/>
      </c>
      <c r="I23" s="108" t="str">
        <f aca="false">IF(H23="","",IF(I22="",H23,I22+H23))</f>
        <v/>
      </c>
    </row>
    <row r="24" customFormat="false" ht="19.5" hidden="false" customHeight="true" outlineLevel="0" collapsed="false">
      <c r="A24" s="95"/>
      <c r="B24" s="96"/>
      <c r="C24" s="96"/>
      <c r="D24" s="97"/>
      <c r="E24" s="98"/>
      <c r="F24" s="99" t="n">
        <v>0</v>
      </c>
      <c r="G24" s="99" t="n">
        <v>0</v>
      </c>
      <c r="H24" s="100" t="str">
        <f aca="false">IF(F24+G24=0,"",F24+G24)</f>
        <v/>
      </c>
      <c r="I24" s="101" t="str">
        <f aca="false">IF(H24="","",IF(I23="",H24,I23+H24))</f>
        <v/>
      </c>
    </row>
    <row r="25" customFormat="false" ht="19.5" hidden="false" customHeight="true" outlineLevel="0" collapsed="false">
      <c r="A25" s="102"/>
      <c r="B25" s="103"/>
      <c r="C25" s="103"/>
      <c r="D25" s="104"/>
      <c r="E25" s="105"/>
      <c r="F25" s="106" t="n">
        <v>0</v>
      </c>
      <c r="G25" s="106" t="n">
        <v>0</v>
      </c>
      <c r="H25" s="107" t="str">
        <f aca="false">IF(F25+G25=0,"",F25+G25)</f>
        <v/>
      </c>
      <c r="I25" s="108" t="str">
        <f aca="false">IF(H25="","",IF(I24="",H25,I24+H25))</f>
        <v/>
      </c>
    </row>
    <row r="26" customFormat="false" ht="19.5" hidden="false" customHeight="true" outlineLevel="0" collapsed="false">
      <c r="A26" s="95"/>
      <c r="B26" s="96"/>
      <c r="C26" s="96"/>
      <c r="D26" s="97"/>
      <c r="E26" s="98"/>
      <c r="F26" s="99" t="n">
        <v>0</v>
      </c>
      <c r="G26" s="99" t="n">
        <v>0</v>
      </c>
      <c r="H26" s="100" t="str">
        <f aca="false">IF(F26+G26=0,"",F26+G26)</f>
        <v/>
      </c>
      <c r="I26" s="101" t="str">
        <f aca="false">IF(H26="","",IF(I25="",H26,I25+H26))</f>
        <v/>
      </c>
    </row>
    <row r="27" customFormat="false" ht="19.5" hidden="false" customHeight="true" outlineLevel="0" collapsed="false">
      <c r="A27" s="102"/>
      <c r="B27" s="103"/>
      <c r="C27" s="103"/>
      <c r="D27" s="104"/>
      <c r="E27" s="105"/>
      <c r="F27" s="106" t="n">
        <v>0</v>
      </c>
      <c r="G27" s="106" t="n">
        <v>0</v>
      </c>
      <c r="H27" s="107" t="str">
        <f aca="false">IF(F27+G27=0,"",F27+G27)</f>
        <v/>
      </c>
      <c r="I27" s="108" t="str">
        <f aca="false">IF(H27="","",IF(I26="",H27,I26+H27))</f>
        <v/>
      </c>
    </row>
    <row r="28" customFormat="false" ht="19.5" hidden="false" customHeight="true" outlineLevel="0" collapsed="false">
      <c r="A28" s="95"/>
      <c r="B28" s="96"/>
      <c r="C28" s="96"/>
      <c r="D28" s="97"/>
      <c r="E28" s="98"/>
      <c r="F28" s="99" t="n">
        <v>0</v>
      </c>
      <c r="G28" s="99" t="n">
        <v>0</v>
      </c>
      <c r="H28" s="100" t="str">
        <f aca="false">IF(F28+G28=0,"",F28+G28)</f>
        <v/>
      </c>
      <c r="I28" s="101" t="str">
        <f aca="false">IF(H28="","",IF(I27="",H28,I27+H28))</f>
        <v/>
      </c>
    </row>
    <row r="29" customFormat="false" ht="19.5" hidden="false" customHeight="true" outlineLevel="0" collapsed="false">
      <c r="A29" s="102"/>
      <c r="B29" s="103"/>
      <c r="C29" s="103"/>
      <c r="D29" s="104"/>
      <c r="E29" s="105"/>
      <c r="F29" s="106" t="n">
        <v>0</v>
      </c>
      <c r="G29" s="106" t="n">
        <v>0</v>
      </c>
      <c r="H29" s="107" t="str">
        <f aca="false">IF(F29+G29=0,"",F29+G29)</f>
        <v/>
      </c>
      <c r="I29" s="108" t="str">
        <f aca="false">IF(H29="","",IF(I28="",H29,I28+H29))</f>
        <v/>
      </c>
    </row>
    <row r="30" customFormat="false" ht="19.5" hidden="false" customHeight="true" outlineLevel="0" collapsed="false">
      <c r="A30" s="95"/>
      <c r="B30" s="96"/>
      <c r="C30" s="96"/>
      <c r="D30" s="97"/>
      <c r="E30" s="98"/>
      <c r="F30" s="99" t="n">
        <v>0</v>
      </c>
      <c r="G30" s="99" t="n">
        <v>0</v>
      </c>
      <c r="H30" s="100" t="str">
        <f aca="false">IF(F30+G30=0,"",F30+G30)</f>
        <v/>
      </c>
      <c r="I30" s="101" t="str">
        <f aca="false">IF(H30="","",IF(I29="",H30,I29+H30))</f>
        <v/>
      </c>
    </row>
    <row r="31" customFormat="false" ht="19.5" hidden="false" customHeight="true" outlineLevel="0" collapsed="false">
      <c r="A31" s="102"/>
      <c r="B31" s="103"/>
      <c r="C31" s="103"/>
      <c r="D31" s="104"/>
      <c r="E31" s="105"/>
      <c r="F31" s="106" t="n">
        <v>0</v>
      </c>
      <c r="G31" s="106" t="n">
        <v>0</v>
      </c>
      <c r="H31" s="107" t="str">
        <f aca="false">IF(F31+G31=0,"",F31+G31)</f>
        <v/>
      </c>
      <c r="I31" s="108" t="str">
        <f aca="false">IF(H31="","",IF(I30="",H31,I30+H31))</f>
        <v/>
      </c>
    </row>
    <row r="32" customFormat="false" ht="19.5" hidden="false" customHeight="true" outlineLevel="0" collapsed="false">
      <c r="A32" s="95"/>
      <c r="B32" s="96"/>
      <c r="C32" s="96"/>
      <c r="D32" s="97"/>
      <c r="E32" s="98"/>
      <c r="F32" s="99" t="n">
        <v>0</v>
      </c>
      <c r="G32" s="99" t="n">
        <v>0</v>
      </c>
      <c r="H32" s="100" t="str">
        <f aca="false">IF(F32+G32=0,"",F32+G32)</f>
        <v/>
      </c>
      <c r="I32" s="101" t="str">
        <f aca="false">IF(H32="","",IF(I31="",H32,I31+H32))</f>
        <v/>
      </c>
    </row>
    <row r="33" customFormat="false" ht="19.5" hidden="false" customHeight="true" outlineLevel="0" collapsed="false">
      <c r="A33" s="102"/>
      <c r="B33" s="103"/>
      <c r="C33" s="103"/>
      <c r="D33" s="104"/>
      <c r="E33" s="105"/>
      <c r="F33" s="106" t="n">
        <v>0</v>
      </c>
      <c r="G33" s="106" t="n">
        <v>0</v>
      </c>
      <c r="H33" s="107" t="str">
        <f aca="false">IF(F33+G33=0,"",F33+G33)</f>
        <v/>
      </c>
      <c r="I33" s="108" t="str">
        <f aca="false">IF(H33="","",IF(I32="",H33,I32+H33))</f>
        <v/>
      </c>
    </row>
    <row r="34" customFormat="false" ht="19.5" hidden="false" customHeight="true" outlineLevel="0" collapsed="false">
      <c r="A34" s="95"/>
      <c r="B34" s="96"/>
      <c r="C34" s="96"/>
      <c r="D34" s="97"/>
      <c r="E34" s="98"/>
      <c r="F34" s="99" t="n">
        <v>0</v>
      </c>
      <c r="G34" s="99" t="n">
        <v>0</v>
      </c>
      <c r="H34" s="100" t="str">
        <f aca="false">IF(F34+G34=0,"",F34+G34)</f>
        <v/>
      </c>
      <c r="I34" s="101" t="str">
        <f aca="false">IF(H34="","",IF(I33="",H34,I33+H34))</f>
        <v/>
      </c>
    </row>
    <row r="35" customFormat="false" ht="19.5" hidden="false" customHeight="true" outlineLevel="0" collapsed="false">
      <c r="A35" s="102"/>
      <c r="B35" s="103"/>
      <c r="C35" s="103"/>
      <c r="D35" s="104"/>
      <c r="E35" s="105"/>
      <c r="F35" s="106" t="n">
        <v>0</v>
      </c>
      <c r="G35" s="106" t="n">
        <v>0</v>
      </c>
      <c r="H35" s="107" t="str">
        <f aca="false">IF(F35+G35=0,"",F35+G35)</f>
        <v/>
      </c>
      <c r="I35" s="108" t="str">
        <f aca="false">IF(H35="","",IF(I34="",H35,I34+H35))</f>
        <v/>
      </c>
    </row>
    <row r="36" customFormat="false" ht="19.5" hidden="false" customHeight="true" outlineLevel="0" collapsed="false">
      <c r="A36" s="95"/>
      <c r="B36" s="96"/>
      <c r="C36" s="96"/>
      <c r="D36" s="97"/>
      <c r="E36" s="98"/>
      <c r="F36" s="99" t="n">
        <v>0</v>
      </c>
      <c r="G36" s="99" t="n">
        <v>0</v>
      </c>
      <c r="H36" s="100" t="str">
        <f aca="false">IF(F36+G36=0,"",F36+G36)</f>
        <v/>
      </c>
      <c r="I36" s="101" t="str">
        <f aca="false">IF(H36="","",IF(I35="",H36,I35+H36))</f>
        <v/>
      </c>
    </row>
    <row r="37" customFormat="false" ht="19.5" hidden="false" customHeight="true" outlineLevel="0" collapsed="false">
      <c r="A37" s="102"/>
      <c r="B37" s="103"/>
      <c r="C37" s="103"/>
      <c r="D37" s="104"/>
      <c r="E37" s="105"/>
      <c r="F37" s="106" t="n">
        <v>0</v>
      </c>
      <c r="G37" s="106" t="n">
        <v>0</v>
      </c>
      <c r="H37" s="107" t="str">
        <f aca="false">IF(F37+G37=0,"",F37+G37)</f>
        <v/>
      </c>
      <c r="I37" s="108" t="str">
        <f aca="false">IF(H37="","",IF(I36="",H37,I36+H37))</f>
        <v/>
      </c>
    </row>
    <row r="38" customFormat="false" ht="19.5" hidden="false" customHeight="true" outlineLevel="0" collapsed="false">
      <c r="A38" s="95"/>
      <c r="B38" s="96"/>
      <c r="C38" s="96"/>
      <c r="D38" s="97"/>
      <c r="E38" s="98"/>
      <c r="F38" s="99" t="n">
        <v>0</v>
      </c>
      <c r="G38" s="99" t="n">
        <v>0</v>
      </c>
      <c r="H38" s="100" t="str">
        <f aca="false">IF(F38+G38=0,"",F38+G38)</f>
        <v/>
      </c>
      <c r="I38" s="101" t="str">
        <f aca="false">IF(H38="","",IF(I37="",H38,I37+H38))</f>
        <v/>
      </c>
    </row>
    <row r="39" customFormat="false" ht="19.5" hidden="false" customHeight="true" outlineLevel="0" collapsed="false">
      <c r="A39" s="102"/>
      <c r="B39" s="103"/>
      <c r="C39" s="103"/>
      <c r="D39" s="104"/>
      <c r="E39" s="105"/>
      <c r="F39" s="106" t="n">
        <v>0</v>
      </c>
      <c r="G39" s="106" t="n">
        <v>0</v>
      </c>
      <c r="H39" s="107" t="str">
        <f aca="false">IF(F39+G39=0,"",F39+G39)</f>
        <v/>
      </c>
      <c r="I39" s="108" t="str">
        <f aca="false">IF(H39="","",IF(I38="",H39,I38+H39))</f>
        <v/>
      </c>
    </row>
    <row r="40" customFormat="false" ht="19.5" hidden="false" customHeight="true" outlineLevel="0" collapsed="false">
      <c r="A40" s="95"/>
      <c r="B40" s="96"/>
      <c r="C40" s="96"/>
      <c r="D40" s="97"/>
      <c r="E40" s="98"/>
      <c r="F40" s="99" t="n">
        <v>0</v>
      </c>
      <c r="G40" s="99" t="n">
        <v>0</v>
      </c>
      <c r="H40" s="100" t="str">
        <f aca="false">IF(F40+G40=0,"",F40+G40)</f>
        <v/>
      </c>
      <c r="I40" s="101" t="str">
        <f aca="false">IF(H40="","",IF(I39="",H40,I39+H40))</f>
        <v/>
      </c>
    </row>
    <row r="41" customFormat="false" ht="19.5" hidden="false" customHeight="true" outlineLevel="0" collapsed="false">
      <c r="A41" s="102"/>
      <c r="B41" s="103"/>
      <c r="C41" s="103"/>
      <c r="D41" s="104"/>
      <c r="E41" s="105"/>
      <c r="F41" s="106" t="n">
        <v>0</v>
      </c>
      <c r="G41" s="106" t="n">
        <v>0</v>
      </c>
      <c r="H41" s="107" t="str">
        <f aca="false">IF(F41+G41=0,"",F41+G41)</f>
        <v/>
      </c>
      <c r="I41" s="108" t="str">
        <f aca="false">IF(H41="","",IF(I40="",H41,I40+H41))</f>
        <v/>
      </c>
    </row>
    <row r="42" customFormat="false" ht="19.5" hidden="false" customHeight="true" outlineLevel="0" collapsed="false">
      <c r="A42" s="95"/>
      <c r="B42" s="96"/>
      <c r="C42" s="96"/>
      <c r="D42" s="97"/>
      <c r="E42" s="98"/>
      <c r="F42" s="99" t="n">
        <v>0</v>
      </c>
      <c r="G42" s="99" t="n">
        <v>0</v>
      </c>
      <c r="H42" s="100" t="str">
        <f aca="false">IF(F42+G42=0,"",F42+G42)</f>
        <v/>
      </c>
      <c r="I42" s="101" t="str">
        <f aca="false">IF(H42="","",IF(I41="",H42,I41+H42))</f>
        <v/>
      </c>
    </row>
    <row r="43" customFormat="false" ht="19.5" hidden="false" customHeight="true" outlineLevel="0" collapsed="false">
      <c r="A43" s="102"/>
      <c r="B43" s="103"/>
      <c r="C43" s="103"/>
      <c r="D43" s="104"/>
      <c r="E43" s="105"/>
      <c r="F43" s="106" t="n">
        <v>0</v>
      </c>
      <c r="G43" s="106" t="n">
        <v>0</v>
      </c>
      <c r="H43" s="107" t="str">
        <f aca="false">IF(F43+G43=0,"",F43+G43)</f>
        <v/>
      </c>
      <c r="I43" s="108" t="str">
        <f aca="false">IF(H43="","",IF(I42="",H43,I42+H43))</f>
        <v/>
      </c>
    </row>
    <row r="44" customFormat="false" ht="19.5" hidden="false" customHeight="true" outlineLevel="0" collapsed="false">
      <c r="A44" s="95"/>
      <c r="B44" s="96"/>
      <c r="C44" s="96"/>
      <c r="D44" s="97"/>
      <c r="E44" s="98"/>
      <c r="F44" s="99" t="n">
        <v>0</v>
      </c>
      <c r="G44" s="99" t="n">
        <v>0</v>
      </c>
      <c r="H44" s="100" t="str">
        <f aca="false">IF(F44+G44=0,"",F44+G44)</f>
        <v/>
      </c>
      <c r="I44" s="101" t="str">
        <f aca="false">IF(H44="","",IF(I43="",H44,I43+H44))</f>
        <v/>
      </c>
    </row>
    <row r="45" customFormat="false" ht="19.5" hidden="false" customHeight="true" outlineLevel="0" collapsed="false">
      <c r="A45" s="102"/>
      <c r="B45" s="103"/>
      <c r="C45" s="103"/>
      <c r="D45" s="104"/>
      <c r="E45" s="105"/>
      <c r="F45" s="106" t="n">
        <v>0</v>
      </c>
      <c r="G45" s="106" t="n">
        <v>0</v>
      </c>
      <c r="H45" s="107" t="str">
        <f aca="false">IF(F45+G45=0,"",F45+G45)</f>
        <v/>
      </c>
      <c r="I45" s="108" t="str">
        <f aca="false">IF(H45="","",IF(I44="",H45,I44+H45))</f>
        <v/>
      </c>
    </row>
    <row r="46" customFormat="false" ht="19.5" hidden="false" customHeight="true" outlineLevel="0" collapsed="false">
      <c r="A46" s="95"/>
      <c r="B46" s="96"/>
      <c r="C46" s="96"/>
      <c r="D46" s="97"/>
      <c r="E46" s="98"/>
      <c r="F46" s="99" t="n">
        <v>0</v>
      </c>
      <c r="G46" s="99" t="n">
        <v>0</v>
      </c>
      <c r="H46" s="100" t="str">
        <f aca="false">IF(F46+G46=0,"",F46+G46)</f>
        <v/>
      </c>
      <c r="I46" s="101" t="str">
        <f aca="false">IF(H46="","",IF(I45="",H46,I45+H46))</f>
        <v/>
      </c>
    </row>
    <row r="47" customFormat="false" ht="19.5" hidden="false" customHeight="true" outlineLevel="0" collapsed="false">
      <c r="A47" s="102"/>
      <c r="B47" s="103"/>
      <c r="C47" s="103"/>
      <c r="D47" s="104"/>
      <c r="E47" s="105"/>
      <c r="F47" s="106" t="n">
        <v>0</v>
      </c>
      <c r="G47" s="106" t="n">
        <v>0</v>
      </c>
      <c r="H47" s="107" t="str">
        <f aca="false">IF(F47+G47=0,"",F47+G47)</f>
        <v/>
      </c>
      <c r="I47" s="108" t="str">
        <f aca="false">IF(H47="","",IF(I46="",H47,I46+H47))</f>
        <v/>
      </c>
    </row>
    <row r="48" customFormat="false" ht="19.5" hidden="false" customHeight="true" outlineLevel="0" collapsed="false">
      <c r="A48" s="95"/>
      <c r="B48" s="96"/>
      <c r="C48" s="96"/>
      <c r="D48" s="97"/>
      <c r="E48" s="98"/>
      <c r="F48" s="99" t="n">
        <v>0</v>
      </c>
      <c r="G48" s="99" t="n">
        <v>0</v>
      </c>
      <c r="H48" s="100" t="str">
        <f aca="false">IF(F48+G48=0,"",F48+G48)</f>
        <v/>
      </c>
      <c r="I48" s="101" t="str">
        <f aca="false">IF(H48="","",IF(I47="",H48,I47+H48))</f>
        <v/>
      </c>
    </row>
    <row r="49" customFormat="false" ht="19.5" hidden="false" customHeight="true" outlineLevel="0" collapsed="false">
      <c r="A49" s="102"/>
      <c r="B49" s="103"/>
      <c r="C49" s="103"/>
      <c r="D49" s="104"/>
      <c r="E49" s="105"/>
      <c r="F49" s="106" t="n">
        <v>0</v>
      </c>
      <c r="G49" s="106" t="n">
        <v>0</v>
      </c>
      <c r="H49" s="107" t="str">
        <f aca="false">IF(F49+G49=0,"",F49+G49)</f>
        <v/>
      </c>
      <c r="I49" s="108" t="str">
        <f aca="false">IF(H49="","",IF(I48="",H49,I48+H49))</f>
        <v/>
      </c>
    </row>
    <row r="50" customFormat="false" ht="19.5" hidden="false" customHeight="true" outlineLevel="0" collapsed="false">
      <c r="A50" s="95"/>
      <c r="B50" s="96"/>
      <c r="C50" s="96"/>
      <c r="D50" s="97"/>
      <c r="E50" s="98"/>
      <c r="F50" s="99" t="n">
        <v>0</v>
      </c>
      <c r="G50" s="99" t="n">
        <v>0</v>
      </c>
      <c r="H50" s="100" t="str">
        <f aca="false">IF(F50+G50=0,"",F50+G50)</f>
        <v/>
      </c>
      <c r="I50" s="101" t="str">
        <f aca="false">IF(H50="","",IF(I49="",H50,I49+H50))</f>
        <v/>
      </c>
    </row>
    <row r="51" customFormat="false" ht="19.5" hidden="false" customHeight="true" outlineLevel="0" collapsed="false">
      <c r="A51" s="102"/>
      <c r="B51" s="103"/>
      <c r="C51" s="103"/>
      <c r="D51" s="104"/>
      <c r="E51" s="105"/>
      <c r="F51" s="106" t="n">
        <v>0</v>
      </c>
      <c r="G51" s="106" t="n">
        <v>0</v>
      </c>
      <c r="H51" s="107" t="str">
        <f aca="false">IF(F51+G51=0,"",F51+G51)</f>
        <v/>
      </c>
      <c r="I51" s="108" t="str">
        <f aca="false">IF(H51="","",IF(I50="",H51,I50+H51))</f>
        <v/>
      </c>
    </row>
    <row r="52" customFormat="false" ht="19.5" hidden="false" customHeight="true" outlineLevel="0" collapsed="false">
      <c r="A52" s="95"/>
      <c r="B52" s="96"/>
      <c r="C52" s="96"/>
      <c r="D52" s="97"/>
      <c r="E52" s="98"/>
      <c r="F52" s="99" t="n">
        <v>0</v>
      </c>
      <c r="G52" s="99" t="n">
        <v>0</v>
      </c>
      <c r="H52" s="100" t="str">
        <f aca="false">IF(F52+G52=0,"",F52+G52)</f>
        <v/>
      </c>
      <c r="I52" s="101" t="str">
        <f aca="false">IF(H52="","",IF(I51="",H52,I51+H52))</f>
        <v/>
      </c>
    </row>
    <row r="53" customFormat="false" ht="19.5" hidden="false" customHeight="true" outlineLevel="0" collapsed="false">
      <c r="A53" s="102"/>
      <c r="B53" s="103"/>
      <c r="C53" s="103"/>
      <c r="D53" s="104"/>
      <c r="E53" s="105"/>
      <c r="F53" s="106" t="n">
        <v>0</v>
      </c>
      <c r="G53" s="106" t="n">
        <v>0</v>
      </c>
      <c r="H53" s="107" t="str">
        <f aca="false">IF(F53+G53=0,"",F53+G53)</f>
        <v/>
      </c>
      <c r="I53" s="108" t="str">
        <f aca="false">IF(H53="","",IF(I52="",H53,I52+H53))</f>
        <v/>
      </c>
    </row>
    <row r="54" customFormat="false" ht="19.5" hidden="false" customHeight="true" outlineLevel="0" collapsed="false">
      <c r="A54" s="95"/>
      <c r="B54" s="96"/>
      <c r="C54" s="96"/>
      <c r="D54" s="97"/>
      <c r="E54" s="98"/>
      <c r="F54" s="99" t="n">
        <v>0</v>
      </c>
      <c r="G54" s="99" t="n">
        <v>0</v>
      </c>
      <c r="H54" s="100" t="str">
        <f aca="false">IF(F54+G54=0,"",F54+G54)</f>
        <v/>
      </c>
      <c r="I54" s="101" t="str">
        <f aca="false">IF(H54="","",IF(I53="",H54,I53+H54))</f>
        <v/>
      </c>
    </row>
    <row r="55" customFormat="false" ht="19.5" hidden="false" customHeight="true" outlineLevel="0" collapsed="false">
      <c r="A55" s="102"/>
      <c r="B55" s="103"/>
      <c r="C55" s="103"/>
      <c r="D55" s="104"/>
      <c r="E55" s="105"/>
      <c r="F55" s="106" t="n">
        <v>0</v>
      </c>
      <c r="G55" s="106" t="n">
        <v>0</v>
      </c>
      <c r="H55" s="107" t="str">
        <f aca="false">IF(F55+G55=0,"",F55+G55)</f>
        <v/>
      </c>
      <c r="I55" s="108" t="str">
        <f aca="false">IF(H55="","",IF(I54="",H55,I54+H55))</f>
        <v/>
      </c>
    </row>
    <row r="56" customFormat="false" ht="19.5" hidden="false" customHeight="true" outlineLevel="0" collapsed="false">
      <c r="A56" s="95"/>
      <c r="B56" s="96"/>
      <c r="C56" s="96"/>
      <c r="D56" s="97"/>
      <c r="E56" s="98"/>
      <c r="F56" s="99" t="n">
        <v>0</v>
      </c>
      <c r="G56" s="99" t="n">
        <v>0</v>
      </c>
      <c r="H56" s="100" t="str">
        <f aca="false">IF(F56+G56=0,"",F56+G56)</f>
        <v/>
      </c>
      <c r="I56" s="101" t="str">
        <f aca="false">IF(H56="","",IF(I55="",H56,I55+H56))</f>
        <v/>
      </c>
    </row>
    <row r="57" customFormat="false" ht="19.5" hidden="false" customHeight="true" outlineLevel="0" collapsed="false">
      <c r="A57" s="102"/>
      <c r="B57" s="103"/>
      <c r="C57" s="103"/>
      <c r="D57" s="104"/>
      <c r="E57" s="105"/>
      <c r="F57" s="106" t="n">
        <v>0</v>
      </c>
      <c r="G57" s="106" t="n">
        <v>0</v>
      </c>
      <c r="H57" s="107" t="str">
        <f aca="false">IF(F57+G57=0,"",F57+G57)</f>
        <v/>
      </c>
      <c r="I57" s="108" t="str">
        <f aca="false">IF(H57="","",IF(I56="",H57,I56+H57))</f>
        <v/>
      </c>
    </row>
    <row r="58" customFormat="false" ht="19.5" hidden="false" customHeight="true" outlineLevel="0" collapsed="false">
      <c r="A58" s="95"/>
      <c r="B58" s="96"/>
      <c r="C58" s="96"/>
      <c r="D58" s="97"/>
      <c r="E58" s="98"/>
      <c r="F58" s="99" t="n">
        <v>0</v>
      </c>
      <c r="G58" s="99" t="n">
        <v>0</v>
      </c>
      <c r="H58" s="100" t="str">
        <f aca="false">IF(F58+G58=0,"",F58+G58)</f>
        <v/>
      </c>
      <c r="I58" s="101" t="str">
        <f aca="false">IF(H58="","",IF(I57="",H58,I57+H58))</f>
        <v/>
      </c>
    </row>
    <row r="59" customFormat="false" ht="19.5" hidden="false" customHeight="true" outlineLevel="0" collapsed="false">
      <c r="A59" s="102"/>
      <c r="B59" s="103"/>
      <c r="C59" s="103"/>
      <c r="D59" s="104"/>
      <c r="E59" s="105"/>
      <c r="F59" s="106" t="n">
        <v>0</v>
      </c>
      <c r="G59" s="106" t="n">
        <v>0</v>
      </c>
      <c r="H59" s="107" t="str">
        <f aca="false">IF(F59+G59=0,"",F59+G59)</f>
        <v/>
      </c>
      <c r="I59" s="108" t="str">
        <f aca="false">IF(H59="","",IF(I58="",H59,I58+H59))</f>
        <v/>
      </c>
    </row>
    <row r="60" customFormat="false" ht="19.5" hidden="false" customHeight="true" outlineLevel="0" collapsed="false">
      <c r="A60" s="95"/>
      <c r="B60" s="96"/>
      <c r="C60" s="96"/>
      <c r="D60" s="97"/>
      <c r="E60" s="98"/>
      <c r="F60" s="99" t="n">
        <v>0</v>
      </c>
      <c r="G60" s="99" t="n">
        <v>0</v>
      </c>
      <c r="H60" s="100" t="str">
        <f aca="false">IF(F60+G60=0,"",F60+G60)</f>
        <v/>
      </c>
      <c r="I60" s="101" t="str">
        <f aca="false">IF(H60="","",IF(I59="",H60,I59+H60))</f>
        <v/>
      </c>
    </row>
    <row r="61" customFormat="false" ht="19.5" hidden="false" customHeight="true" outlineLevel="0" collapsed="false">
      <c r="A61" s="102"/>
      <c r="B61" s="103"/>
      <c r="C61" s="103"/>
      <c r="D61" s="104"/>
      <c r="E61" s="105"/>
      <c r="F61" s="106" t="n">
        <v>0</v>
      </c>
      <c r="G61" s="106" t="n">
        <v>0</v>
      </c>
      <c r="H61" s="107" t="str">
        <f aca="false">IF(F61+G61=0,"",F61+G61)</f>
        <v/>
      </c>
      <c r="I61" s="108" t="str">
        <f aca="false">IF(H61="","",IF(I60="",H61,I60+H61))</f>
        <v/>
      </c>
    </row>
    <row r="62" customFormat="false" ht="19.5" hidden="false" customHeight="true" outlineLevel="0" collapsed="false">
      <c r="A62" s="95"/>
      <c r="B62" s="96"/>
      <c r="C62" s="96"/>
      <c r="D62" s="97"/>
      <c r="E62" s="98"/>
      <c r="F62" s="99" t="n">
        <v>0</v>
      </c>
      <c r="G62" s="99" t="n">
        <v>0</v>
      </c>
      <c r="H62" s="100" t="str">
        <f aca="false">IF(F62+G62=0,"",F62+G62)</f>
        <v/>
      </c>
      <c r="I62" s="101" t="str">
        <f aca="false">IF(H62="","",IF(I61="",H62,I61+H62))</f>
        <v/>
      </c>
    </row>
    <row r="63" customFormat="false" ht="19.5" hidden="false" customHeight="true" outlineLevel="0" collapsed="false">
      <c r="A63" s="102"/>
      <c r="B63" s="103"/>
      <c r="C63" s="103"/>
      <c r="D63" s="104"/>
      <c r="E63" s="105"/>
      <c r="F63" s="106" t="n">
        <v>0</v>
      </c>
      <c r="G63" s="106" t="n">
        <v>0</v>
      </c>
      <c r="H63" s="107" t="str">
        <f aca="false">IF(F63+G63=0,"",F63+G63)</f>
        <v/>
      </c>
      <c r="I63" s="108" t="str">
        <f aca="false">IF(H63="","",IF(I62="",H63,I62+H63))</f>
        <v/>
      </c>
    </row>
    <row r="64" customFormat="false" ht="19.5" hidden="false" customHeight="true" outlineLevel="0" collapsed="false">
      <c r="A64" s="95"/>
      <c r="B64" s="96"/>
      <c r="C64" s="96"/>
      <c r="D64" s="97"/>
      <c r="E64" s="98"/>
      <c r="F64" s="99" t="n">
        <v>0</v>
      </c>
      <c r="G64" s="99" t="n">
        <v>0</v>
      </c>
      <c r="H64" s="100" t="str">
        <f aca="false">IF(F64+G64=0,"",F64+G64)</f>
        <v/>
      </c>
      <c r="I64" s="101" t="str">
        <f aca="false">IF(H64="","",IF(I63="",H64,I63+H64))</f>
        <v/>
      </c>
    </row>
    <row r="65" customFormat="false" ht="19.5" hidden="false" customHeight="true" outlineLevel="0" collapsed="false">
      <c r="A65" s="102"/>
      <c r="B65" s="103"/>
      <c r="C65" s="103"/>
      <c r="D65" s="104"/>
      <c r="E65" s="105"/>
      <c r="F65" s="106" t="n">
        <v>0</v>
      </c>
      <c r="G65" s="106" t="n">
        <v>0</v>
      </c>
      <c r="H65" s="107" t="str">
        <f aca="false">IF(F65+G65=0,"",F65+G65)</f>
        <v/>
      </c>
      <c r="I65" s="108" t="str">
        <f aca="false">IF(H65="","",IF(I64="",H65,I64+H65))</f>
        <v/>
      </c>
    </row>
    <row r="66" customFormat="false" ht="19.5" hidden="false" customHeight="true" outlineLevel="0" collapsed="false">
      <c r="A66" s="95"/>
      <c r="B66" s="96"/>
      <c r="C66" s="96"/>
      <c r="D66" s="97"/>
      <c r="E66" s="98"/>
      <c r="F66" s="99" t="n">
        <v>0</v>
      </c>
      <c r="G66" s="99" t="n">
        <v>0</v>
      </c>
      <c r="H66" s="100" t="str">
        <f aca="false">IF(F66+G66=0,"",F66+G66)</f>
        <v/>
      </c>
      <c r="I66" s="101" t="str">
        <f aca="false">IF(H66="","",IF(I65="",H66,I65+H66))</f>
        <v/>
      </c>
    </row>
    <row r="67" customFormat="false" ht="19.5" hidden="false" customHeight="true" outlineLevel="0" collapsed="false">
      <c r="A67" s="102"/>
      <c r="B67" s="103"/>
      <c r="C67" s="103"/>
      <c r="D67" s="104"/>
      <c r="E67" s="105"/>
      <c r="F67" s="106" t="n">
        <v>0</v>
      </c>
      <c r="G67" s="106" t="n">
        <v>0</v>
      </c>
      <c r="H67" s="107" t="str">
        <f aca="false">IF(F67+G67=0,"",F67+G67)</f>
        <v/>
      </c>
      <c r="I67" s="108" t="str">
        <f aca="false">IF(H67="","",IF(I66="",H67,I66+H67))</f>
        <v/>
      </c>
    </row>
    <row r="68" customFormat="false" ht="19.5" hidden="false" customHeight="true" outlineLevel="0" collapsed="false">
      <c r="A68" s="95"/>
      <c r="B68" s="96"/>
      <c r="C68" s="96"/>
      <c r="D68" s="97"/>
      <c r="E68" s="98"/>
      <c r="F68" s="99" t="n">
        <v>0</v>
      </c>
      <c r="G68" s="99" t="n">
        <v>0</v>
      </c>
      <c r="H68" s="100" t="str">
        <f aca="false">IF(F68+G68=0,"",F68+G68)</f>
        <v/>
      </c>
      <c r="I68" s="101" t="str">
        <f aca="false">IF(H68="","",IF(I67="",H68,I67+H68))</f>
        <v/>
      </c>
    </row>
    <row r="69" customFormat="false" ht="19.5" hidden="false" customHeight="true" outlineLevel="0" collapsed="false">
      <c r="A69" s="102"/>
      <c r="B69" s="103"/>
      <c r="C69" s="103"/>
      <c r="D69" s="104"/>
      <c r="E69" s="105"/>
      <c r="F69" s="106" t="n">
        <v>0</v>
      </c>
      <c r="G69" s="106" t="n">
        <v>0</v>
      </c>
      <c r="H69" s="107" t="str">
        <f aca="false">IF(F69+G69=0,"",F69+G69)</f>
        <v/>
      </c>
      <c r="I69" s="108" t="str">
        <f aca="false">IF(H69="","",IF(I68="",H69,I68+H69))</f>
        <v/>
      </c>
    </row>
    <row r="70" customFormat="false" ht="19.5" hidden="false" customHeight="true" outlineLevel="0" collapsed="false">
      <c r="A70" s="95"/>
      <c r="B70" s="96"/>
      <c r="C70" s="96"/>
      <c r="D70" s="97"/>
      <c r="E70" s="98"/>
      <c r="F70" s="99" t="n">
        <v>0</v>
      </c>
      <c r="G70" s="99" t="n">
        <v>0</v>
      </c>
      <c r="H70" s="100" t="str">
        <f aca="false">IF(F70+G70=0,"",F70+G70)</f>
        <v/>
      </c>
      <c r="I70" s="101" t="str">
        <f aca="false">IF(H70="","",IF(I69="",H70,I69+H70))</f>
        <v/>
      </c>
    </row>
    <row r="71" customFormat="false" ht="19.5" hidden="false" customHeight="true" outlineLevel="0" collapsed="false">
      <c r="A71" s="102"/>
      <c r="B71" s="103"/>
      <c r="C71" s="103"/>
      <c r="D71" s="104"/>
      <c r="E71" s="105"/>
      <c r="F71" s="106" t="n">
        <v>0</v>
      </c>
      <c r="G71" s="106" t="n">
        <v>0</v>
      </c>
      <c r="H71" s="107" t="str">
        <f aca="false">IF(F71+G71=0,"",F71+G71)</f>
        <v/>
      </c>
      <c r="I71" s="108" t="str">
        <f aca="false">IF(H71="","",IF(I70="",H71,I70+H71))</f>
        <v/>
      </c>
    </row>
    <row r="72" customFormat="false" ht="19.5" hidden="false" customHeight="true" outlineLevel="0" collapsed="false">
      <c r="A72" s="95"/>
      <c r="B72" s="96"/>
      <c r="C72" s="96"/>
      <c r="D72" s="97"/>
      <c r="E72" s="98"/>
      <c r="F72" s="99" t="n">
        <v>0</v>
      </c>
      <c r="G72" s="99" t="n">
        <v>0</v>
      </c>
      <c r="H72" s="100" t="str">
        <f aca="false">IF(F72+G72=0,"",F72+G72)</f>
        <v/>
      </c>
      <c r="I72" s="101" t="str">
        <f aca="false">IF(H72="","",IF(I71="",H72,I71+H72))</f>
        <v/>
      </c>
    </row>
    <row r="73" customFormat="false" ht="19.5" hidden="false" customHeight="true" outlineLevel="0" collapsed="false">
      <c r="A73" s="102"/>
      <c r="B73" s="103"/>
      <c r="C73" s="103"/>
      <c r="D73" s="104"/>
      <c r="E73" s="105"/>
      <c r="F73" s="106" t="n">
        <v>0</v>
      </c>
      <c r="G73" s="106" t="n">
        <v>0</v>
      </c>
      <c r="H73" s="107" t="str">
        <f aca="false">IF(F73+G73=0,"",F73+G73)</f>
        <v/>
      </c>
      <c r="I73" s="108" t="str">
        <f aca="false">IF(H73="","",IF(I72="",H73,I72+H73))</f>
        <v/>
      </c>
    </row>
    <row r="74" customFormat="false" ht="19.5" hidden="false" customHeight="true" outlineLevel="0" collapsed="false">
      <c r="A74" s="95"/>
      <c r="B74" s="96"/>
      <c r="C74" s="96"/>
      <c r="D74" s="97"/>
      <c r="E74" s="98"/>
      <c r="F74" s="99" t="n">
        <v>0</v>
      </c>
      <c r="G74" s="99" t="n">
        <v>0</v>
      </c>
      <c r="H74" s="100" t="str">
        <f aca="false">IF(F74+G74=0,"",F74+G74)</f>
        <v/>
      </c>
      <c r="I74" s="101" t="str">
        <f aca="false">IF(H74="","",IF(I73="",H74,I73+H74))</f>
        <v/>
      </c>
    </row>
    <row r="75" customFormat="false" ht="19.5" hidden="false" customHeight="true" outlineLevel="0" collapsed="false">
      <c r="A75" s="102"/>
      <c r="B75" s="103"/>
      <c r="C75" s="103"/>
      <c r="D75" s="104"/>
      <c r="E75" s="105"/>
      <c r="F75" s="106" t="n">
        <v>0</v>
      </c>
      <c r="G75" s="106" t="n">
        <v>0</v>
      </c>
      <c r="H75" s="107" t="str">
        <f aca="false">IF(F75+G75=0,"",F75+G75)</f>
        <v/>
      </c>
      <c r="I75" s="108" t="str">
        <f aca="false">IF(H75="","",IF(I74="",H75,I74+H75))</f>
        <v/>
      </c>
    </row>
    <row r="76" customFormat="false" ht="19.5" hidden="false" customHeight="true" outlineLevel="0" collapsed="false">
      <c r="A76" s="95"/>
      <c r="B76" s="96"/>
      <c r="C76" s="96"/>
      <c r="D76" s="97"/>
      <c r="E76" s="98"/>
      <c r="F76" s="99" t="n">
        <v>0</v>
      </c>
      <c r="G76" s="99" t="n">
        <v>0</v>
      </c>
      <c r="H76" s="100" t="str">
        <f aca="false">IF(F76+G76=0,"",F76+G76)</f>
        <v/>
      </c>
      <c r="I76" s="101" t="str">
        <f aca="false">IF(H76="","",IF(I75="",H76,I75+H76))</f>
        <v/>
      </c>
    </row>
    <row r="77" customFormat="false" ht="19.5" hidden="false" customHeight="true" outlineLevel="0" collapsed="false">
      <c r="A77" s="102"/>
      <c r="B77" s="103"/>
      <c r="C77" s="103"/>
      <c r="D77" s="104"/>
      <c r="E77" s="105"/>
      <c r="F77" s="106" t="n">
        <v>0</v>
      </c>
      <c r="G77" s="106" t="n">
        <v>0</v>
      </c>
      <c r="H77" s="107" t="str">
        <f aca="false">IF(F77+G77=0,"",F77+G77)</f>
        <v/>
      </c>
      <c r="I77" s="108" t="str">
        <f aca="false">IF(H77="","",IF(I76="",H77,I76+H77))</f>
        <v/>
      </c>
    </row>
    <row r="78" customFormat="false" ht="19.5" hidden="false" customHeight="true" outlineLevel="0" collapsed="false">
      <c r="A78" s="95"/>
      <c r="B78" s="96"/>
      <c r="C78" s="96"/>
      <c r="D78" s="97"/>
      <c r="E78" s="98"/>
      <c r="F78" s="99" t="n">
        <v>0</v>
      </c>
      <c r="G78" s="99" t="n">
        <v>0</v>
      </c>
      <c r="H78" s="100" t="str">
        <f aca="false">IF(F78+G78=0,"",F78+G78)</f>
        <v/>
      </c>
      <c r="I78" s="101" t="str">
        <f aca="false">IF(H78="","",IF(I77="",H78,I77+H78))</f>
        <v/>
      </c>
    </row>
    <row r="79" customFormat="false" ht="19.5" hidden="false" customHeight="true" outlineLevel="0" collapsed="false">
      <c r="A79" s="102"/>
      <c r="B79" s="103"/>
      <c r="C79" s="103"/>
      <c r="D79" s="104"/>
      <c r="E79" s="105"/>
      <c r="F79" s="106" t="n">
        <v>0</v>
      </c>
      <c r="G79" s="106" t="n">
        <v>0</v>
      </c>
      <c r="H79" s="107" t="str">
        <f aca="false">IF(F79+G79=0,"",F79+G79)</f>
        <v/>
      </c>
      <c r="I79" s="108" t="str">
        <f aca="false">IF(H79="","",IF(I78="",H79,I78+H79))</f>
        <v/>
      </c>
    </row>
    <row r="80" customFormat="false" ht="19.5" hidden="false" customHeight="true" outlineLevel="0" collapsed="false">
      <c r="A80" s="95"/>
      <c r="B80" s="96"/>
      <c r="C80" s="96"/>
      <c r="D80" s="97"/>
      <c r="E80" s="98"/>
      <c r="F80" s="99" t="n">
        <v>0</v>
      </c>
      <c r="G80" s="99" t="n">
        <v>0</v>
      </c>
      <c r="H80" s="100" t="str">
        <f aca="false">IF(F80+G80=0,"",F80+G80)</f>
        <v/>
      </c>
      <c r="I80" s="101" t="str">
        <f aca="false">IF(H80="","",IF(I79="",H80,I79+H80))</f>
        <v/>
      </c>
    </row>
    <row r="81" customFormat="false" ht="19.5" hidden="false" customHeight="true" outlineLevel="0" collapsed="false">
      <c r="A81" s="102"/>
      <c r="B81" s="103"/>
      <c r="C81" s="103"/>
      <c r="D81" s="104"/>
      <c r="E81" s="105"/>
      <c r="F81" s="106" t="n">
        <v>0</v>
      </c>
      <c r="G81" s="106" t="n">
        <v>0</v>
      </c>
      <c r="H81" s="107" t="str">
        <f aca="false">IF(F81+G81=0,"",F81+G81)</f>
        <v/>
      </c>
      <c r="I81" s="108" t="str">
        <f aca="false">IF(H81="","",IF(I80="",H81,I80+H81))</f>
        <v/>
      </c>
    </row>
    <row r="82" customFormat="false" ht="19.5" hidden="false" customHeight="true" outlineLevel="0" collapsed="false">
      <c r="A82" s="95"/>
      <c r="B82" s="96"/>
      <c r="C82" s="96"/>
      <c r="D82" s="97"/>
      <c r="E82" s="98"/>
      <c r="F82" s="99" t="n">
        <v>0</v>
      </c>
      <c r="G82" s="99" t="n">
        <v>0</v>
      </c>
      <c r="H82" s="100" t="str">
        <f aca="false">IF(F82+G82=0,"",F82+G82)</f>
        <v/>
      </c>
      <c r="I82" s="101" t="str">
        <f aca="false">IF(H82="","",IF(I81="",H82,I81+H82))</f>
        <v/>
      </c>
    </row>
    <row r="83" customFormat="false" ht="19.5" hidden="false" customHeight="true" outlineLevel="0" collapsed="false">
      <c r="A83" s="102"/>
      <c r="B83" s="103"/>
      <c r="C83" s="103"/>
      <c r="D83" s="104"/>
      <c r="E83" s="105"/>
      <c r="F83" s="106" t="n">
        <v>0</v>
      </c>
      <c r="G83" s="106" t="n">
        <v>0</v>
      </c>
      <c r="H83" s="107" t="str">
        <f aca="false">IF(F83+G83=0,"",F83+G83)</f>
        <v/>
      </c>
      <c r="I83" s="108" t="str">
        <f aca="false">IF(H83="","",IF(I82="",H83,I82+H83))</f>
        <v/>
      </c>
    </row>
    <row r="84" customFormat="false" ht="19.5" hidden="false" customHeight="true" outlineLevel="0" collapsed="false">
      <c r="A84" s="95"/>
      <c r="B84" s="96"/>
      <c r="C84" s="96"/>
      <c r="D84" s="97"/>
      <c r="E84" s="98"/>
      <c r="F84" s="99" t="n">
        <v>0</v>
      </c>
      <c r="G84" s="99" t="n">
        <v>0</v>
      </c>
      <c r="H84" s="100" t="str">
        <f aca="false">IF(F84+G84=0,"",F84+G84)</f>
        <v/>
      </c>
      <c r="I84" s="101" t="str">
        <f aca="false">IF(H84="","",IF(I83="",H84,I83+H84))</f>
        <v/>
      </c>
    </row>
    <row r="85" customFormat="false" ht="19.5" hidden="false" customHeight="true" outlineLevel="0" collapsed="false">
      <c r="A85" s="102"/>
      <c r="B85" s="103"/>
      <c r="C85" s="103"/>
      <c r="D85" s="104"/>
      <c r="E85" s="105"/>
      <c r="F85" s="106" t="n">
        <v>0</v>
      </c>
      <c r="G85" s="106" t="n">
        <v>0</v>
      </c>
      <c r="H85" s="107" t="str">
        <f aca="false">IF(F85+G85=0,"",F85+G85)</f>
        <v/>
      </c>
      <c r="I85" s="108" t="str">
        <f aca="false">IF(H85="","",IF(I84="",H85,I84+H85))</f>
        <v/>
      </c>
    </row>
    <row r="86" customFormat="false" ht="19.5" hidden="false" customHeight="true" outlineLevel="0" collapsed="false">
      <c r="A86" s="95"/>
      <c r="B86" s="96"/>
      <c r="C86" s="96"/>
      <c r="D86" s="97"/>
      <c r="E86" s="98"/>
      <c r="F86" s="99" t="n">
        <v>0</v>
      </c>
      <c r="G86" s="99" t="n">
        <v>0</v>
      </c>
      <c r="H86" s="100" t="str">
        <f aca="false">IF(F86+G86=0,"",F86+G86)</f>
        <v/>
      </c>
      <c r="I86" s="101" t="str">
        <f aca="false">IF(H86="","",IF(I85="",H86,I85+H86))</f>
        <v/>
      </c>
    </row>
    <row r="87" customFormat="false" ht="19.5" hidden="false" customHeight="true" outlineLevel="0" collapsed="false">
      <c r="A87" s="102"/>
      <c r="B87" s="103"/>
      <c r="C87" s="103"/>
      <c r="D87" s="104"/>
      <c r="E87" s="105"/>
      <c r="F87" s="106" t="n">
        <v>0</v>
      </c>
      <c r="G87" s="106" t="n">
        <v>0</v>
      </c>
      <c r="H87" s="107" t="str">
        <f aca="false">IF(F87+G87=0,"",F87+G87)</f>
        <v/>
      </c>
      <c r="I87" s="108" t="str">
        <f aca="false">IF(H87="","",IF(I86="",H87,I86+H87))</f>
        <v/>
      </c>
    </row>
    <row r="88" customFormat="false" ht="19.5" hidden="false" customHeight="true" outlineLevel="0" collapsed="false">
      <c r="A88" s="95"/>
      <c r="B88" s="96"/>
      <c r="C88" s="96"/>
      <c r="D88" s="97"/>
      <c r="E88" s="98"/>
      <c r="F88" s="99" t="n">
        <v>0</v>
      </c>
      <c r="G88" s="99" t="n">
        <v>0</v>
      </c>
      <c r="H88" s="100" t="str">
        <f aca="false">IF(F88+G88=0,"",F88+G88)</f>
        <v/>
      </c>
      <c r="I88" s="101" t="str">
        <f aca="false">IF(H88="","",IF(I87="",H88,I87+H88))</f>
        <v/>
      </c>
    </row>
    <row r="89" customFormat="false" ht="19.5" hidden="false" customHeight="true" outlineLevel="0" collapsed="false">
      <c r="A89" s="102"/>
      <c r="B89" s="103"/>
      <c r="C89" s="103"/>
      <c r="D89" s="104"/>
      <c r="E89" s="105"/>
      <c r="F89" s="106" t="n">
        <v>0</v>
      </c>
      <c r="G89" s="106" t="n">
        <v>0</v>
      </c>
      <c r="H89" s="107" t="str">
        <f aca="false">IF(F89+G89=0,"",F89+G89)</f>
        <v/>
      </c>
      <c r="I89" s="108" t="str">
        <f aca="false">IF(H89="","",IF(I88="",H89,I88+H89))</f>
        <v/>
      </c>
    </row>
    <row r="90" customFormat="false" ht="19.5" hidden="false" customHeight="true" outlineLevel="0" collapsed="false">
      <c r="A90" s="95"/>
      <c r="B90" s="96"/>
      <c r="C90" s="96"/>
      <c r="D90" s="97"/>
      <c r="E90" s="98"/>
      <c r="F90" s="99" t="n">
        <v>0</v>
      </c>
      <c r="G90" s="99" t="n">
        <v>0</v>
      </c>
      <c r="H90" s="100" t="str">
        <f aca="false">IF(F90+G90=0,"",F90+G90)</f>
        <v/>
      </c>
      <c r="I90" s="101" t="str">
        <f aca="false">IF(H90="","",IF(I89="",H90,I89+H90))</f>
        <v/>
      </c>
    </row>
    <row r="91" customFormat="false" ht="19.5" hidden="false" customHeight="true" outlineLevel="0" collapsed="false">
      <c r="A91" s="102"/>
      <c r="B91" s="103"/>
      <c r="C91" s="103"/>
      <c r="D91" s="104"/>
      <c r="E91" s="105"/>
      <c r="F91" s="106" t="n">
        <v>0</v>
      </c>
      <c r="G91" s="106" t="n">
        <v>0</v>
      </c>
      <c r="H91" s="107" t="str">
        <f aca="false">IF(F91+G91=0,"",F91+G91)</f>
        <v/>
      </c>
      <c r="I91" s="108" t="str">
        <f aca="false">IF(H91="","",IF(I90="",H91,I90+H91))</f>
        <v/>
      </c>
    </row>
    <row r="92" customFormat="false" ht="19.5" hidden="false" customHeight="true" outlineLevel="0" collapsed="false">
      <c r="A92" s="95"/>
      <c r="B92" s="96"/>
      <c r="C92" s="96"/>
      <c r="D92" s="97"/>
      <c r="E92" s="98"/>
      <c r="F92" s="99" t="n">
        <v>0</v>
      </c>
      <c r="G92" s="99" t="n">
        <v>0</v>
      </c>
      <c r="H92" s="100" t="str">
        <f aca="false">IF(F92+G92=0,"",F92+G92)</f>
        <v/>
      </c>
      <c r="I92" s="101" t="str">
        <f aca="false">IF(H92="","",IF(I91="",H92,I91+H92))</f>
        <v/>
      </c>
    </row>
    <row r="93" customFormat="false" ht="19.5" hidden="false" customHeight="true" outlineLevel="0" collapsed="false">
      <c r="A93" s="102"/>
      <c r="B93" s="103"/>
      <c r="C93" s="103"/>
      <c r="D93" s="104"/>
      <c r="E93" s="105"/>
      <c r="F93" s="106" t="n">
        <v>0</v>
      </c>
      <c r="G93" s="106" t="n">
        <v>0</v>
      </c>
      <c r="H93" s="107" t="str">
        <f aca="false">IF(F93+G93=0,"",F93+G93)</f>
        <v/>
      </c>
      <c r="I93" s="108" t="str">
        <f aca="false">IF(H93="","",IF(I92="",H93,I92+H93))</f>
        <v/>
      </c>
    </row>
    <row r="94" customFormat="false" ht="19.5" hidden="false" customHeight="true" outlineLevel="0" collapsed="false">
      <c r="A94" s="95"/>
      <c r="B94" s="96"/>
      <c r="C94" s="96"/>
      <c r="D94" s="97"/>
      <c r="E94" s="98"/>
      <c r="F94" s="99" t="n">
        <v>0</v>
      </c>
      <c r="G94" s="99" t="n">
        <v>0</v>
      </c>
      <c r="H94" s="100" t="str">
        <f aca="false">IF(F94+G94=0,"",F94+G94)</f>
        <v/>
      </c>
      <c r="I94" s="101" t="str">
        <f aca="false">IF(H94="","",IF(I93="",H94,I93+H94))</f>
        <v/>
      </c>
    </row>
    <row r="95" customFormat="false" ht="19.5" hidden="false" customHeight="true" outlineLevel="0" collapsed="false">
      <c r="A95" s="102"/>
      <c r="B95" s="103"/>
      <c r="C95" s="103"/>
      <c r="D95" s="104"/>
      <c r="E95" s="105"/>
      <c r="F95" s="106" t="n">
        <v>0</v>
      </c>
      <c r="G95" s="106" t="n">
        <v>0</v>
      </c>
      <c r="H95" s="107" t="str">
        <f aca="false">IF(F95+G95=0,"",F95+G95)</f>
        <v/>
      </c>
      <c r="I95" s="108" t="str">
        <f aca="false">IF(H95="","",IF(I94="",H95,I94+H95))</f>
        <v/>
      </c>
    </row>
    <row r="96" customFormat="false" ht="19.5" hidden="false" customHeight="true" outlineLevel="0" collapsed="false">
      <c r="A96" s="95"/>
      <c r="B96" s="96"/>
      <c r="C96" s="96"/>
      <c r="D96" s="97"/>
      <c r="E96" s="98"/>
      <c r="F96" s="99" t="n">
        <v>0</v>
      </c>
      <c r="G96" s="99" t="n">
        <v>0</v>
      </c>
      <c r="H96" s="100" t="str">
        <f aca="false">IF(F96+G96=0,"",F96+G96)</f>
        <v/>
      </c>
      <c r="I96" s="101" t="str">
        <f aca="false">IF(H96="","",IF(I95="",H96,I95+H96))</f>
        <v/>
      </c>
    </row>
    <row r="97" customFormat="false" ht="19.5" hidden="false" customHeight="true" outlineLevel="0" collapsed="false">
      <c r="A97" s="102"/>
      <c r="B97" s="103"/>
      <c r="C97" s="103"/>
      <c r="D97" s="104"/>
      <c r="E97" s="105"/>
      <c r="F97" s="106" t="n">
        <v>0</v>
      </c>
      <c r="G97" s="106" t="n">
        <v>0</v>
      </c>
      <c r="H97" s="107" t="str">
        <f aca="false">IF(F97+G97=0,"",F97+G97)</f>
        <v/>
      </c>
      <c r="I97" s="108" t="str">
        <f aca="false">IF(H97="","",IF(I96="",H97,I96+H97))</f>
        <v/>
      </c>
    </row>
    <row r="98" customFormat="false" ht="19.5" hidden="false" customHeight="true" outlineLevel="0" collapsed="false">
      <c r="A98" s="95"/>
      <c r="B98" s="96"/>
      <c r="C98" s="96"/>
      <c r="D98" s="97"/>
      <c r="E98" s="98"/>
      <c r="F98" s="99" t="n">
        <v>0</v>
      </c>
      <c r="G98" s="99" t="n">
        <v>0</v>
      </c>
      <c r="H98" s="100" t="str">
        <f aca="false">IF(F98+G98=0,"",F98+G98)</f>
        <v/>
      </c>
      <c r="I98" s="101" t="str">
        <f aca="false">IF(H98="","",IF(I97="",H98,I97+H98))</f>
        <v/>
      </c>
    </row>
    <row r="99" customFormat="false" ht="19.5" hidden="false" customHeight="true" outlineLevel="0" collapsed="false">
      <c r="A99" s="102"/>
      <c r="B99" s="103"/>
      <c r="C99" s="103"/>
      <c r="D99" s="104"/>
      <c r="E99" s="105"/>
      <c r="F99" s="106" t="n">
        <v>0</v>
      </c>
      <c r="G99" s="106" t="n">
        <v>0</v>
      </c>
      <c r="H99" s="107" t="str">
        <f aca="false">IF(F99+G99=0,"",F99+G99)</f>
        <v/>
      </c>
      <c r="I99" s="108" t="str">
        <f aca="false">IF(H99="","",IF(I98="",H99,I98+H99))</f>
        <v/>
      </c>
    </row>
    <row r="100" customFormat="false" ht="19.5" hidden="false" customHeight="true" outlineLevel="0" collapsed="false">
      <c r="A100" s="95"/>
      <c r="B100" s="96"/>
      <c r="C100" s="96"/>
      <c r="D100" s="97"/>
      <c r="E100" s="98"/>
      <c r="F100" s="99" t="n">
        <v>0</v>
      </c>
      <c r="G100" s="99" t="n">
        <v>0</v>
      </c>
      <c r="H100" s="100" t="str">
        <f aca="false">IF(F100+G100=0,"",F100+G100)</f>
        <v/>
      </c>
      <c r="I100" s="101" t="str">
        <f aca="false">IF(H100="","",IF(I99="",H100,I99+H100))</f>
        <v/>
      </c>
    </row>
    <row r="101" customFormat="false" ht="19.5" hidden="false" customHeight="true" outlineLevel="0" collapsed="false">
      <c r="A101" s="102"/>
      <c r="B101" s="103"/>
      <c r="C101" s="103"/>
      <c r="D101" s="104"/>
      <c r="E101" s="105"/>
      <c r="F101" s="106" t="n">
        <v>0</v>
      </c>
      <c r="G101" s="106" t="n">
        <v>0</v>
      </c>
      <c r="H101" s="107" t="str">
        <f aca="false">IF(F101+G101=0,"",F101+G101)</f>
        <v/>
      </c>
      <c r="I101" s="108" t="str">
        <f aca="false">IF(H101="","",IF(I100="",H101,I100+H101))</f>
        <v/>
      </c>
    </row>
    <row r="102" customFormat="false" ht="19.5" hidden="false" customHeight="true" outlineLevel="0" collapsed="false">
      <c r="A102" s="95"/>
      <c r="B102" s="96"/>
      <c r="C102" s="96"/>
      <c r="D102" s="97"/>
      <c r="E102" s="98"/>
      <c r="F102" s="99" t="n">
        <v>0</v>
      </c>
      <c r="G102" s="99" t="n">
        <v>0</v>
      </c>
      <c r="H102" s="100" t="str">
        <f aca="false">IF(F102+G102=0,"",F102+G102)</f>
        <v/>
      </c>
      <c r="I102" s="101" t="str">
        <f aca="false">IF(H102="","",IF(I101="",H102,I101+H102))</f>
        <v/>
      </c>
    </row>
    <row r="103" customFormat="false" ht="19.5" hidden="false" customHeight="true" outlineLevel="0" collapsed="false">
      <c r="A103" s="102"/>
      <c r="B103" s="103"/>
      <c r="C103" s="103"/>
      <c r="D103" s="104"/>
      <c r="E103" s="105"/>
      <c r="F103" s="106" t="n">
        <v>0</v>
      </c>
      <c r="G103" s="106" t="n">
        <v>0</v>
      </c>
      <c r="H103" s="107" t="str">
        <f aca="false">IF(F103+G103=0,"",F103+G103)</f>
        <v/>
      </c>
      <c r="I103" s="108" t="str">
        <f aca="false">IF(H103="","",IF(I102="",H103,I102+H103))</f>
        <v/>
      </c>
    </row>
    <row r="104" customFormat="false" ht="19.5" hidden="false" customHeight="true" outlineLevel="0" collapsed="false">
      <c r="A104" s="95"/>
      <c r="B104" s="96"/>
      <c r="C104" s="96"/>
      <c r="D104" s="97"/>
      <c r="E104" s="98"/>
      <c r="F104" s="99" t="n">
        <v>0</v>
      </c>
      <c r="G104" s="99" t="n">
        <v>0</v>
      </c>
      <c r="H104" s="100" t="str">
        <f aca="false">IF(F104+G104=0,"",F104+G104)</f>
        <v/>
      </c>
      <c r="I104" s="101" t="str">
        <f aca="false">IF(H104="","",IF(I103="",H104,I103+H104))</f>
        <v/>
      </c>
    </row>
    <row r="105" customFormat="false" ht="19.5" hidden="false" customHeight="true" outlineLevel="0" collapsed="false">
      <c r="A105" s="102"/>
      <c r="B105" s="103"/>
      <c r="C105" s="103"/>
      <c r="D105" s="104"/>
      <c r="E105" s="105"/>
      <c r="F105" s="106" t="n">
        <v>0</v>
      </c>
      <c r="G105" s="106" t="n">
        <v>0</v>
      </c>
      <c r="H105" s="107" t="str">
        <f aca="false">IF(F105+G105=0,"",F105+G105)</f>
        <v/>
      </c>
      <c r="I105" s="108" t="str">
        <f aca="false">IF(H105="","",IF(I104="",H105,I104+H105))</f>
        <v/>
      </c>
    </row>
    <row r="106" customFormat="false" ht="19.5" hidden="false" customHeight="true" outlineLevel="0" collapsed="false">
      <c r="A106" s="95"/>
      <c r="B106" s="96"/>
      <c r="C106" s="96"/>
      <c r="D106" s="97"/>
      <c r="E106" s="98"/>
      <c r="F106" s="99" t="n">
        <v>0</v>
      </c>
      <c r="G106" s="99" t="n">
        <v>0</v>
      </c>
      <c r="H106" s="100" t="str">
        <f aca="false">IF(F106+G106=0,"",F106+G106)</f>
        <v/>
      </c>
      <c r="I106" s="101" t="str">
        <f aca="false">IF(H106="","",IF(I105="",H106,I105+H106))</f>
        <v/>
      </c>
    </row>
    <row r="107" customFormat="false" ht="19.5" hidden="false" customHeight="true" outlineLevel="0" collapsed="false">
      <c r="A107" s="102"/>
      <c r="B107" s="103"/>
      <c r="C107" s="103"/>
      <c r="D107" s="104"/>
      <c r="E107" s="105"/>
      <c r="F107" s="106" t="n">
        <v>0</v>
      </c>
      <c r="G107" s="106" t="n">
        <v>0</v>
      </c>
      <c r="H107" s="107" t="str">
        <f aca="false">IF(F107+G107=0,"",F107+G107)</f>
        <v/>
      </c>
      <c r="I107" s="108" t="str">
        <f aca="false">IF(H107="","",IF(I106="",H107,I106+H107))</f>
        <v/>
      </c>
    </row>
    <row r="108" customFormat="false" ht="19.5" hidden="false" customHeight="true" outlineLevel="0" collapsed="false">
      <c r="A108" s="95"/>
      <c r="B108" s="96"/>
      <c r="C108" s="96"/>
      <c r="D108" s="97"/>
      <c r="E108" s="98"/>
      <c r="F108" s="99" t="n">
        <v>0</v>
      </c>
      <c r="G108" s="99" t="n">
        <v>0</v>
      </c>
      <c r="H108" s="100" t="str">
        <f aca="false">IF(F108+G108=0,"",F108+G108)</f>
        <v/>
      </c>
      <c r="I108" s="101" t="str">
        <f aca="false">IF(H108="","",IF(I107="",H108,I107+H108))</f>
        <v/>
      </c>
    </row>
    <row r="109" customFormat="false" ht="19.5" hidden="false" customHeight="true" outlineLevel="0" collapsed="false">
      <c r="A109" s="102"/>
      <c r="B109" s="103"/>
      <c r="C109" s="103"/>
      <c r="D109" s="104"/>
      <c r="E109" s="105"/>
      <c r="F109" s="106" t="n">
        <v>0</v>
      </c>
      <c r="G109" s="106" t="n">
        <v>0</v>
      </c>
      <c r="H109" s="107" t="str">
        <f aca="false">IF(F109+G109=0,"",F109+G109)</f>
        <v/>
      </c>
      <c r="I109" s="108" t="str">
        <f aca="false">IF(H109="","",IF(I108="",H109,I108+H109))</f>
        <v/>
      </c>
    </row>
    <row r="110" customFormat="false" ht="19.5" hidden="false" customHeight="true" outlineLevel="0" collapsed="false">
      <c r="A110" s="95"/>
      <c r="B110" s="96"/>
      <c r="C110" s="96"/>
      <c r="D110" s="97"/>
      <c r="E110" s="98"/>
      <c r="F110" s="99" t="n">
        <v>0</v>
      </c>
      <c r="G110" s="99" t="n">
        <v>0</v>
      </c>
      <c r="H110" s="100" t="str">
        <f aca="false">IF(F110+G110=0,"",F110+G110)</f>
        <v/>
      </c>
      <c r="I110" s="101" t="str">
        <f aca="false">IF(H110="","",IF(I109="",H110,I109+H110))</f>
        <v/>
      </c>
    </row>
    <row r="111" customFormat="false" ht="19.5" hidden="false" customHeight="true" outlineLevel="0" collapsed="false">
      <c r="A111" s="102"/>
      <c r="B111" s="103"/>
      <c r="C111" s="103"/>
      <c r="D111" s="104"/>
      <c r="E111" s="105"/>
      <c r="F111" s="106" t="n">
        <v>0</v>
      </c>
      <c r="G111" s="106" t="n">
        <v>0</v>
      </c>
      <c r="H111" s="107" t="str">
        <f aca="false">IF(F111+G111=0,"",F111+G111)</f>
        <v/>
      </c>
      <c r="I111" s="108" t="str">
        <f aca="false">IF(H111="","",IF(I110="",H111,I110+H111))</f>
        <v/>
      </c>
    </row>
    <row r="112" customFormat="false" ht="19.5" hidden="false" customHeight="true" outlineLevel="0" collapsed="false">
      <c r="A112" s="95"/>
      <c r="B112" s="96"/>
      <c r="C112" s="96"/>
      <c r="D112" s="97"/>
      <c r="E112" s="98"/>
      <c r="F112" s="99" t="n">
        <v>0</v>
      </c>
      <c r="G112" s="99" t="n">
        <v>0</v>
      </c>
      <c r="H112" s="100" t="str">
        <f aca="false">IF(F112+G112=0,"",F112+G112)</f>
        <v/>
      </c>
      <c r="I112" s="101" t="str">
        <f aca="false">IF(H112="","",IF(I111="",H112,I111+H112))</f>
        <v/>
      </c>
    </row>
    <row r="113" customFormat="false" ht="19.5" hidden="false" customHeight="true" outlineLevel="0" collapsed="false">
      <c r="A113" s="102"/>
      <c r="B113" s="103"/>
      <c r="C113" s="103"/>
      <c r="D113" s="104"/>
      <c r="E113" s="105"/>
      <c r="F113" s="106" t="n">
        <v>0</v>
      </c>
      <c r="G113" s="106" t="n">
        <v>0</v>
      </c>
      <c r="H113" s="107" t="str">
        <f aca="false">IF(F113+G113=0,"",F113+G113)</f>
        <v/>
      </c>
      <c r="I113" s="108" t="str">
        <f aca="false">IF(H113="","",IF(I112="",H113,I112+H113))</f>
        <v/>
      </c>
    </row>
    <row r="114" customFormat="false" ht="19.5" hidden="false" customHeight="true" outlineLevel="0" collapsed="false">
      <c r="A114" s="95"/>
      <c r="B114" s="96"/>
      <c r="C114" s="96"/>
      <c r="D114" s="97"/>
      <c r="E114" s="98"/>
      <c r="F114" s="99" t="n">
        <v>0</v>
      </c>
      <c r="G114" s="99" t="n">
        <v>0</v>
      </c>
      <c r="H114" s="100" t="str">
        <f aca="false">IF(F114+G114=0,"",F114+G114)</f>
        <v/>
      </c>
      <c r="I114" s="101" t="str">
        <f aca="false">IF(H114="","",IF(I113="",H114,I113+H114))</f>
        <v/>
      </c>
    </row>
    <row r="115" customFormat="false" ht="19.5" hidden="false" customHeight="true" outlineLevel="0" collapsed="false">
      <c r="A115" s="102"/>
      <c r="B115" s="103"/>
      <c r="C115" s="103"/>
      <c r="D115" s="104"/>
      <c r="E115" s="105"/>
      <c r="F115" s="106" t="n">
        <v>0</v>
      </c>
      <c r="G115" s="106" t="n">
        <v>0</v>
      </c>
      <c r="H115" s="107" t="str">
        <f aca="false">IF(F115+G115=0,"",F115+G115)</f>
        <v/>
      </c>
      <c r="I115" s="108" t="str">
        <f aca="false">IF(H115="","",IF(I114="",H115,I114+H115))</f>
        <v/>
      </c>
    </row>
    <row r="116" customFormat="false" ht="19.5" hidden="false" customHeight="true" outlineLevel="0" collapsed="false">
      <c r="A116" s="95"/>
      <c r="B116" s="96"/>
      <c r="C116" s="96"/>
      <c r="D116" s="97"/>
      <c r="E116" s="98"/>
      <c r="F116" s="99" t="n">
        <v>0</v>
      </c>
      <c r="G116" s="99" t="n">
        <v>0</v>
      </c>
      <c r="H116" s="100" t="str">
        <f aca="false">IF(F116+G116=0,"",F116+G116)</f>
        <v/>
      </c>
      <c r="I116" s="101" t="str">
        <f aca="false">IF(H116="","",IF(I115="",H116,I115+H116))</f>
        <v/>
      </c>
    </row>
    <row r="117" customFormat="false" ht="19.5" hidden="false" customHeight="true" outlineLevel="0" collapsed="false">
      <c r="A117" s="102"/>
      <c r="B117" s="103"/>
      <c r="C117" s="103"/>
      <c r="D117" s="104"/>
      <c r="E117" s="105"/>
      <c r="F117" s="106" t="n">
        <v>0</v>
      </c>
      <c r="G117" s="106" t="n">
        <v>0</v>
      </c>
      <c r="H117" s="107" t="str">
        <f aca="false">IF(F117+G117=0,"",F117+G117)</f>
        <v/>
      </c>
      <c r="I117" s="108" t="str">
        <f aca="false">IF(H117="","",IF(I116="",H117,I116+H117))</f>
        <v/>
      </c>
    </row>
    <row r="118" customFormat="false" ht="19.5" hidden="false" customHeight="true" outlineLevel="0" collapsed="false">
      <c r="A118" s="95"/>
      <c r="B118" s="96"/>
      <c r="C118" s="96"/>
      <c r="D118" s="97"/>
      <c r="E118" s="98"/>
      <c r="F118" s="99" t="n">
        <v>0</v>
      </c>
      <c r="G118" s="99" t="n">
        <v>0</v>
      </c>
      <c r="H118" s="100" t="str">
        <f aca="false">IF(F118+G118=0,"",F118+G118)</f>
        <v/>
      </c>
      <c r="I118" s="101" t="str">
        <f aca="false">IF(H118="","",IF(I117="",H118,I117+H118))</f>
        <v/>
      </c>
    </row>
    <row r="119" customFormat="false" ht="19.5" hidden="false" customHeight="true" outlineLevel="0" collapsed="false">
      <c r="A119" s="102"/>
      <c r="B119" s="103"/>
      <c r="C119" s="103"/>
      <c r="D119" s="104"/>
      <c r="E119" s="105"/>
      <c r="F119" s="106" t="n">
        <v>0</v>
      </c>
      <c r="G119" s="106" t="n">
        <v>0</v>
      </c>
      <c r="H119" s="107" t="str">
        <f aca="false">IF(F119+G119=0,"",F119+G119)</f>
        <v/>
      </c>
      <c r="I119" s="108" t="str">
        <f aca="false">IF(H119="","",IF(I118="",H119,I118+H119))</f>
        <v/>
      </c>
    </row>
    <row r="120" customFormat="false" ht="19.5" hidden="false" customHeight="true" outlineLevel="0" collapsed="false">
      <c r="A120" s="95"/>
      <c r="B120" s="96"/>
      <c r="C120" s="96"/>
      <c r="D120" s="97"/>
      <c r="E120" s="98"/>
      <c r="F120" s="99" t="n">
        <v>0</v>
      </c>
      <c r="G120" s="99" t="n">
        <v>0</v>
      </c>
      <c r="H120" s="100" t="str">
        <f aca="false">IF(F120+G120=0,"",F120+G120)</f>
        <v/>
      </c>
      <c r="I120" s="101" t="str">
        <f aca="false">IF(H120="","",IF(I119="",H120,I119+H120))</f>
        <v/>
      </c>
    </row>
    <row r="121" customFormat="false" ht="19.5" hidden="false" customHeight="true" outlineLevel="0" collapsed="false">
      <c r="A121" s="102"/>
      <c r="B121" s="103"/>
      <c r="C121" s="103"/>
      <c r="D121" s="104"/>
      <c r="E121" s="105"/>
      <c r="F121" s="106" t="n">
        <v>0</v>
      </c>
      <c r="G121" s="106" t="n">
        <v>0</v>
      </c>
      <c r="H121" s="107" t="str">
        <f aca="false">IF(F121+G121=0,"",F121+G121)</f>
        <v/>
      </c>
      <c r="I121" s="108" t="str">
        <f aca="false">IF(H121="","",IF(I120="",H121,I120+H121))</f>
        <v/>
      </c>
    </row>
    <row r="122" customFormat="false" ht="19.5" hidden="false" customHeight="true" outlineLevel="0" collapsed="false">
      <c r="A122" s="95"/>
      <c r="B122" s="96"/>
      <c r="C122" s="96"/>
      <c r="D122" s="97"/>
      <c r="E122" s="98"/>
      <c r="F122" s="99" t="n">
        <v>0</v>
      </c>
      <c r="G122" s="99" t="n">
        <v>0</v>
      </c>
      <c r="H122" s="100" t="str">
        <f aca="false">IF(F122+G122=0,"",F122+G122)</f>
        <v/>
      </c>
      <c r="I122" s="101" t="str">
        <f aca="false">IF(H122="","",IF(I121="",H122,I121+H122))</f>
        <v/>
      </c>
    </row>
    <row r="123" customFormat="false" ht="19.5" hidden="false" customHeight="true" outlineLevel="0" collapsed="false">
      <c r="A123" s="102"/>
      <c r="B123" s="103"/>
      <c r="C123" s="103"/>
      <c r="D123" s="104"/>
      <c r="E123" s="105"/>
      <c r="F123" s="106" t="n">
        <v>0</v>
      </c>
      <c r="G123" s="106" t="n">
        <v>0</v>
      </c>
      <c r="H123" s="107" t="str">
        <f aca="false">IF(F123+G123=0,"",F123+G123)</f>
        <v/>
      </c>
      <c r="I123" s="108" t="str">
        <f aca="false">IF(H123="","",IF(I122="",H123,I122+H123))</f>
        <v/>
      </c>
    </row>
    <row r="124" customFormat="false" ht="19.5" hidden="false" customHeight="true" outlineLevel="0" collapsed="false">
      <c r="A124" s="95"/>
      <c r="B124" s="96"/>
      <c r="C124" s="96"/>
      <c r="D124" s="97"/>
      <c r="E124" s="98"/>
      <c r="F124" s="99" t="n">
        <v>0</v>
      </c>
      <c r="G124" s="99" t="n">
        <v>0</v>
      </c>
      <c r="H124" s="100" t="str">
        <f aca="false">IF(F124+G124=0,"",F124+G124)</f>
        <v/>
      </c>
      <c r="I124" s="101" t="str">
        <f aca="false">IF(H124="","",IF(I123="",H124,I123+H124))</f>
        <v/>
      </c>
    </row>
    <row r="125" customFormat="false" ht="19.5" hidden="false" customHeight="true" outlineLevel="0" collapsed="false">
      <c r="A125" s="102"/>
      <c r="B125" s="103"/>
      <c r="C125" s="103"/>
      <c r="D125" s="104"/>
      <c r="E125" s="105"/>
      <c r="F125" s="106" t="n">
        <v>0</v>
      </c>
      <c r="G125" s="106" t="n">
        <v>0</v>
      </c>
      <c r="H125" s="107" t="str">
        <f aca="false">IF(F125+G125=0,"",F125+G125)</f>
        <v/>
      </c>
      <c r="I125" s="108" t="str">
        <f aca="false">IF(H125="","",IF(I124="",H125,I124+H125))</f>
        <v/>
      </c>
    </row>
    <row r="126" customFormat="false" ht="19.5" hidden="false" customHeight="true" outlineLevel="0" collapsed="false">
      <c r="A126" s="95"/>
      <c r="B126" s="96"/>
      <c r="C126" s="96"/>
      <c r="D126" s="97"/>
      <c r="E126" s="98"/>
      <c r="F126" s="99" t="n">
        <v>0</v>
      </c>
      <c r="G126" s="99" t="n">
        <v>0</v>
      </c>
      <c r="H126" s="100" t="str">
        <f aca="false">IF(F126+G126=0,"",F126+G126)</f>
        <v/>
      </c>
      <c r="I126" s="101" t="str">
        <f aca="false">IF(H126="","",IF(I125="",H126,I125+H126))</f>
        <v/>
      </c>
    </row>
    <row r="127" customFormat="false" ht="19.5" hidden="false" customHeight="true" outlineLevel="0" collapsed="false">
      <c r="A127" s="102"/>
      <c r="B127" s="103"/>
      <c r="C127" s="103"/>
      <c r="D127" s="104"/>
      <c r="E127" s="105"/>
      <c r="F127" s="106" t="n">
        <v>0</v>
      </c>
      <c r="G127" s="106" t="n">
        <v>0</v>
      </c>
      <c r="H127" s="107" t="str">
        <f aca="false">IF(F127+G127=0,"",F127+G127)</f>
        <v/>
      </c>
      <c r="I127" s="108" t="str">
        <f aca="false">IF(H127="","",IF(I126="",H127,I126+H127))</f>
        <v/>
      </c>
    </row>
    <row r="128" customFormat="false" ht="19.5" hidden="false" customHeight="true" outlineLevel="0" collapsed="false">
      <c r="A128" s="95"/>
      <c r="B128" s="96"/>
      <c r="C128" s="96"/>
      <c r="D128" s="97"/>
      <c r="E128" s="98"/>
      <c r="F128" s="99" t="n">
        <v>0</v>
      </c>
      <c r="G128" s="99" t="n">
        <v>0</v>
      </c>
      <c r="H128" s="100" t="str">
        <f aca="false">IF(F128+G128=0,"",F128+G128)</f>
        <v/>
      </c>
      <c r="I128" s="101" t="str">
        <f aca="false">IF(H128="","",IF(I127="",H128,I127+H128))</f>
        <v/>
      </c>
    </row>
    <row r="129" customFormat="false" ht="19.5" hidden="false" customHeight="true" outlineLevel="0" collapsed="false">
      <c r="A129" s="102"/>
      <c r="B129" s="103"/>
      <c r="C129" s="103"/>
      <c r="D129" s="104"/>
      <c r="E129" s="105"/>
      <c r="F129" s="106" t="n">
        <v>0</v>
      </c>
      <c r="G129" s="106" t="n">
        <v>0</v>
      </c>
      <c r="H129" s="107" t="str">
        <f aca="false">IF(F129+G129=0,"",F129+G129)</f>
        <v/>
      </c>
      <c r="I129" s="108" t="str">
        <f aca="false">IF(H129="","",IF(I128="",H129,I128+H129))</f>
        <v/>
      </c>
    </row>
    <row r="130" customFormat="false" ht="19.5" hidden="false" customHeight="true" outlineLevel="0" collapsed="false">
      <c r="A130" s="95"/>
      <c r="B130" s="96"/>
      <c r="C130" s="96"/>
      <c r="D130" s="97"/>
      <c r="E130" s="98"/>
      <c r="F130" s="99" t="n">
        <v>0</v>
      </c>
      <c r="G130" s="99" t="n">
        <v>0</v>
      </c>
      <c r="H130" s="100" t="str">
        <f aca="false">IF(F130+G130=0,"",F130+G130)</f>
        <v/>
      </c>
      <c r="I130" s="101" t="str">
        <f aca="false">IF(H130="","",IF(I129="",H130,I129+H130))</f>
        <v/>
      </c>
    </row>
    <row r="131" customFormat="false" ht="19.5" hidden="false" customHeight="true" outlineLevel="0" collapsed="false">
      <c r="A131" s="102"/>
      <c r="B131" s="103"/>
      <c r="C131" s="103"/>
      <c r="D131" s="104"/>
      <c r="E131" s="105"/>
      <c r="F131" s="106" t="n">
        <v>0</v>
      </c>
      <c r="G131" s="106" t="n">
        <v>0</v>
      </c>
      <c r="H131" s="107" t="str">
        <f aca="false">IF(F131+G131=0,"",F131+G131)</f>
        <v/>
      </c>
      <c r="I131" s="108" t="str">
        <f aca="false">IF(H131="","",IF(I130="",H131,I130+H131))</f>
        <v/>
      </c>
    </row>
    <row r="132" customFormat="false" ht="19.5" hidden="false" customHeight="true" outlineLevel="0" collapsed="false">
      <c r="A132" s="95"/>
      <c r="B132" s="96"/>
      <c r="C132" s="96"/>
      <c r="D132" s="97"/>
      <c r="E132" s="98"/>
      <c r="F132" s="99" t="n">
        <v>0</v>
      </c>
      <c r="G132" s="99" t="n">
        <v>0</v>
      </c>
      <c r="H132" s="100" t="str">
        <f aca="false">IF(F132+G132=0,"",F132+G132)</f>
        <v/>
      </c>
      <c r="I132" s="101" t="str">
        <f aca="false">IF(H132="","",IF(I131="",H132,I131+H132))</f>
        <v/>
      </c>
    </row>
    <row r="133" customFormat="false" ht="19.5" hidden="false" customHeight="true" outlineLevel="0" collapsed="false">
      <c r="A133" s="102"/>
      <c r="B133" s="103"/>
      <c r="C133" s="103"/>
      <c r="D133" s="104"/>
      <c r="E133" s="105"/>
      <c r="F133" s="106" t="n">
        <v>0</v>
      </c>
      <c r="G133" s="106" t="n">
        <v>0</v>
      </c>
      <c r="H133" s="107" t="str">
        <f aca="false">IF(F133+G133=0,"",F133+G133)</f>
        <v/>
      </c>
      <c r="I133" s="108" t="str">
        <f aca="false">IF(H133="","",IF(I132="",H133,I132+H133))</f>
        <v/>
      </c>
    </row>
    <row r="134" customFormat="false" ht="19.5" hidden="false" customHeight="true" outlineLevel="0" collapsed="false">
      <c r="A134" s="95"/>
      <c r="B134" s="96"/>
      <c r="C134" s="96"/>
      <c r="D134" s="97"/>
      <c r="E134" s="98"/>
      <c r="F134" s="99" t="n">
        <v>0</v>
      </c>
      <c r="G134" s="99" t="n">
        <v>0</v>
      </c>
      <c r="H134" s="100" t="str">
        <f aca="false">IF(F134+G134=0,"",F134+G134)</f>
        <v/>
      </c>
      <c r="I134" s="101" t="str">
        <f aca="false">IF(H134="","",IF(I133="",H134,I133+H134))</f>
        <v/>
      </c>
    </row>
    <row r="135" customFormat="false" ht="19.5" hidden="false" customHeight="true" outlineLevel="0" collapsed="false">
      <c r="A135" s="102"/>
      <c r="B135" s="103"/>
      <c r="C135" s="103"/>
      <c r="D135" s="104"/>
      <c r="E135" s="105"/>
      <c r="F135" s="106" t="n">
        <v>0</v>
      </c>
      <c r="G135" s="106" t="n">
        <v>0</v>
      </c>
      <c r="H135" s="107" t="str">
        <f aca="false">IF(F135+G135=0,"",F135+G135)</f>
        <v/>
      </c>
      <c r="I135" s="108" t="str">
        <f aca="false">IF(H135="","",IF(I134="",H135,I134+H135))</f>
        <v/>
      </c>
    </row>
    <row r="136" customFormat="false" ht="19.5" hidden="false" customHeight="true" outlineLevel="0" collapsed="false">
      <c r="A136" s="95"/>
      <c r="B136" s="96"/>
      <c r="C136" s="96"/>
      <c r="D136" s="97"/>
      <c r="E136" s="98"/>
      <c r="F136" s="99" t="n">
        <v>0</v>
      </c>
      <c r="G136" s="99" t="n">
        <v>0</v>
      </c>
      <c r="H136" s="100" t="str">
        <f aca="false">IF(F136+G136=0,"",F136+G136)</f>
        <v/>
      </c>
      <c r="I136" s="101" t="str">
        <f aca="false">IF(H136="","",IF(I135="",H136,I135+H136))</f>
        <v/>
      </c>
    </row>
    <row r="137" customFormat="false" ht="19.5" hidden="false" customHeight="true" outlineLevel="0" collapsed="false">
      <c r="A137" s="102"/>
      <c r="B137" s="103"/>
      <c r="C137" s="103"/>
      <c r="D137" s="104"/>
      <c r="E137" s="105"/>
      <c r="F137" s="106" t="n">
        <v>0</v>
      </c>
      <c r="G137" s="106" t="n">
        <v>0</v>
      </c>
      <c r="H137" s="107" t="str">
        <f aca="false">IF(F137+G137=0,"",F137+G137)</f>
        <v/>
      </c>
      <c r="I137" s="108" t="str">
        <f aca="false">IF(H137="","",IF(I136="",H137,I136+H137))</f>
        <v/>
      </c>
    </row>
    <row r="138" customFormat="false" ht="19.5" hidden="false" customHeight="true" outlineLevel="0" collapsed="false">
      <c r="A138" s="95"/>
      <c r="B138" s="96"/>
      <c r="C138" s="96"/>
      <c r="D138" s="97"/>
      <c r="E138" s="98"/>
      <c r="F138" s="99" t="n">
        <v>0</v>
      </c>
      <c r="G138" s="99" t="n">
        <v>0</v>
      </c>
      <c r="H138" s="100" t="str">
        <f aca="false">IF(F138+G138=0,"",F138+G138)</f>
        <v/>
      </c>
      <c r="I138" s="101" t="str">
        <f aca="false">IF(H138="","",IF(I137="",H138,I137+H138))</f>
        <v/>
      </c>
    </row>
    <row r="139" customFormat="false" ht="19.5" hidden="false" customHeight="true" outlineLevel="0" collapsed="false">
      <c r="A139" s="102"/>
      <c r="B139" s="103"/>
      <c r="C139" s="103"/>
      <c r="D139" s="104"/>
      <c r="E139" s="105"/>
      <c r="F139" s="106" t="n">
        <v>0</v>
      </c>
      <c r="G139" s="106" t="n">
        <v>0</v>
      </c>
      <c r="H139" s="107" t="str">
        <f aca="false">IF(F139+G139=0,"",F139+G139)</f>
        <v/>
      </c>
      <c r="I139" s="108" t="str">
        <f aca="false">IF(H139="","",IF(I138="",H139,I138+H139))</f>
        <v/>
      </c>
    </row>
    <row r="140" customFormat="false" ht="19.5" hidden="false" customHeight="true" outlineLevel="0" collapsed="false">
      <c r="A140" s="95"/>
      <c r="B140" s="96"/>
      <c r="C140" s="96"/>
      <c r="D140" s="97"/>
      <c r="E140" s="98"/>
      <c r="F140" s="99" t="n">
        <v>0</v>
      </c>
      <c r="G140" s="99" t="n">
        <v>0</v>
      </c>
      <c r="H140" s="100" t="str">
        <f aca="false">IF(F140+G140=0,"",F140+G140)</f>
        <v/>
      </c>
      <c r="I140" s="101" t="str">
        <f aca="false">IF(H140="","",IF(I139="",H140,I139+H140))</f>
        <v/>
      </c>
    </row>
    <row r="141" customFormat="false" ht="19.5" hidden="false" customHeight="true" outlineLevel="0" collapsed="false">
      <c r="A141" s="102"/>
      <c r="B141" s="103"/>
      <c r="C141" s="103"/>
      <c r="D141" s="104"/>
      <c r="E141" s="105"/>
      <c r="F141" s="106" t="n">
        <v>0</v>
      </c>
      <c r="G141" s="106" t="n">
        <v>0</v>
      </c>
      <c r="H141" s="107" t="str">
        <f aca="false">IF(F141+G141=0,"",F141+G141)</f>
        <v/>
      </c>
      <c r="I141" s="108" t="str">
        <f aca="false">IF(H141="","",IF(I140="",H141,I140+H141))</f>
        <v/>
      </c>
    </row>
    <row r="142" customFormat="false" ht="19.5" hidden="false" customHeight="true" outlineLevel="0" collapsed="false">
      <c r="A142" s="95"/>
      <c r="B142" s="96"/>
      <c r="C142" s="96"/>
      <c r="D142" s="97"/>
      <c r="E142" s="98"/>
      <c r="F142" s="99" t="n">
        <v>0</v>
      </c>
      <c r="G142" s="99" t="n">
        <v>0</v>
      </c>
      <c r="H142" s="100" t="str">
        <f aca="false">IF(F142+G142=0,"",F142+G142)</f>
        <v/>
      </c>
      <c r="I142" s="101" t="str">
        <f aca="false">IF(H142="","",IF(I141="",H142,I141+H142))</f>
        <v/>
      </c>
    </row>
    <row r="143" customFormat="false" ht="19.5" hidden="false" customHeight="true" outlineLevel="0" collapsed="false">
      <c r="A143" s="102"/>
      <c r="B143" s="103"/>
      <c r="C143" s="103"/>
      <c r="D143" s="104"/>
      <c r="E143" s="105"/>
      <c r="F143" s="106" t="n">
        <v>0</v>
      </c>
      <c r="G143" s="106" t="n">
        <v>0</v>
      </c>
      <c r="H143" s="107" t="str">
        <f aca="false">IF(F143+G143=0,"",F143+G143)</f>
        <v/>
      </c>
      <c r="I143" s="108" t="str">
        <f aca="false">IF(H143="","",IF(I142="",H143,I142+H143))</f>
        <v/>
      </c>
    </row>
    <row r="144" customFormat="false" ht="19.5" hidden="false" customHeight="true" outlineLevel="0" collapsed="false">
      <c r="A144" s="95"/>
      <c r="B144" s="96"/>
      <c r="C144" s="96"/>
      <c r="D144" s="97"/>
      <c r="E144" s="98"/>
      <c r="F144" s="99" t="n">
        <v>0</v>
      </c>
      <c r="G144" s="99" t="n">
        <v>0</v>
      </c>
      <c r="H144" s="100" t="str">
        <f aca="false">IF(F144+G144=0,"",F144+G144)</f>
        <v/>
      </c>
      <c r="I144" s="101" t="str">
        <f aca="false">IF(H144="","",IF(I143="",H144,I143+H144))</f>
        <v/>
      </c>
    </row>
    <row r="145" customFormat="false" ht="19.5" hidden="false" customHeight="true" outlineLevel="0" collapsed="false">
      <c r="A145" s="102"/>
      <c r="B145" s="103"/>
      <c r="C145" s="103"/>
      <c r="D145" s="104"/>
      <c r="E145" s="105"/>
      <c r="F145" s="106" t="n">
        <v>0</v>
      </c>
      <c r="G145" s="106" t="n">
        <v>0</v>
      </c>
      <c r="H145" s="107" t="str">
        <f aca="false">IF(F145+G145=0,"",F145+G145)</f>
        <v/>
      </c>
      <c r="I145" s="108" t="str">
        <f aca="false">IF(H145="","",IF(I144="",H145,I144+H145))</f>
        <v/>
      </c>
    </row>
    <row r="146" customFormat="false" ht="19.5" hidden="false" customHeight="true" outlineLevel="0" collapsed="false">
      <c r="A146" s="95"/>
      <c r="B146" s="96"/>
      <c r="C146" s="96"/>
      <c r="D146" s="97"/>
      <c r="E146" s="98"/>
      <c r="F146" s="99" t="n">
        <v>0</v>
      </c>
      <c r="G146" s="99" t="n">
        <v>0</v>
      </c>
      <c r="H146" s="100" t="str">
        <f aca="false">IF(F146+G146=0,"",F146+G146)</f>
        <v/>
      </c>
      <c r="I146" s="101" t="str">
        <f aca="false">IF(H146="","",IF(I145="",H146,I145+H146))</f>
        <v/>
      </c>
    </row>
    <row r="147" customFormat="false" ht="19.5" hidden="false" customHeight="true" outlineLevel="0" collapsed="false">
      <c r="A147" s="102"/>
      <c r="B147" s="103"/>
      <c r="C147" s="103"/>
      <c r="D147" s="104"/>
      <c r="E147" s="105"/>
      <c r="F147" s="106" t="n">
        <v>0</v>
      </c>
      <c r="G147" s="106" t="n">
        <v>0</v>
      </c>
      <c r="H147" s="107" t="str">
        <f aca="false">IF(F147+G147=0,"",F147+G147)</f>
        <v/>
      </c>
      <c r="I147" s="108" t="str">
        <f aca="false">IF(H147="","",IF(I146="",H147,I146+H147))</f>
        <v/>
      </c>
    </row>
    <row r="148" customFormat="false" ht="19.5" hidden="false" customHeight="true" outlineLevel="0" collapsed="false">
      <c r="A148" s="95"/>
      <c r="B148" s="96"/>
      <c r="C148" s="96"/>
      <c r="D148" s="97"/>
      <c r="E148" s="98"/>
      <c r="F148" s="99" t="n">
        <v>0</v>
      </c>
      <c r="G148" s="99" t="n">
        <v>0</v>
      </c>
      <c r="H148" s="100" t="str">
        <f aca="false">IF(F148+G148=0,"",F148+G148)</f>
        <v/>
      </c>
      <c r="I148" s="101" t="str">
        <f aca="false">IF(H148="","",IF(I147="",H148,I147+H148))</f>
        <v/>
      </c>
    </row>
    <row r="149" customFormat="false" ht="19.5" hidden="false" customHeight="true" outlineLevel="0" collapsed="false">
      <c r="A149" s="102"/>
      <c r="B149" s="103"/>
      <c r="C149" s="103"/>
      <c r="D149" s="104"/>
      <c r="E149" s="105"/>
      <c r="F149" s="106" t="n">
        <v>0</v>
      </c>
      <c r="G149" s="106" t="n">
        <v>0</v>
      </c>
      <c r="H149" s="107" t="str">
        <f aca="false">IF(F149+G149=0,"",F149+G149)</f>
        <v/>
      </c>
      <c r="I149" s="108" t="str">
        <f aca="false">IF(H149="","",IF(I148="",H149,I148+H149))</f>
        <v/>
      </c>
    </row>
    <row r="150" customFormat="false" ht="19.5" hidden="false" customHeight="true" outlineLevel="0" collapsed="false">
      <c r="A150" s="95"/>
      <c r="B150" s="96"/>
      <c r="C150" s="96"/>
      <c r="D150" s="97"/>
      <c r="E150" s="98"/>
      <c r="F150" s="99" t="n">
        <v>0</v>
      </c>
      <c r="G150" s="99" t="n">
        <v>0</v>
      </c>
      <c r="H150" s="100" t="str">
        <f aca="false">IF(F150+G150=0,"",F150+G150)</f>
        <v/>
      </c>
      <c r="I150" s="101" t="str">
        <f aca="false">IF(H150="","",IF(I149="",H150,I149+H150))</f>
        <v/>
      </c>
    </row>
    <row r="151" customFormat="false" ht="19.5" hidden="false" customHeight="true" outlineLevel="0" collapsed="false">
      <c r="A151" s="102"/>
      <c r="B151" s="103"/>
      <c r="C151" s="103"/>
      <c r="D151" s="104"/>
      <c r="E151" s="105"/>
      <c r="F151" s="106" t="n">
        <v>0</v>
      </c>
      <c r="G151" s="106" t="n">
        <v>0</v>
      </c>
      <c r="H151" s="107" t="str">
        <f aca="false">IF(F151+G151=0,"",F151+G151)</f>
        <v/>
      </c>
      <c r="I151" s="108" t="str">
        <f aca="false">IF(H151="","",IF(I150="",H151,I150+H151))</f>
        <v/>
      </c>
    </row>
    <row r="152" customFormat="false" ht="19.5" hidden="false" customHeight="true" outlineLevel="0" collapsed="false">
      <c r="A152" s="95"/>
      <c r="B152" s="96"/>
      <c r="C152" s="96"/>
      <c r="D152" s="97"/>
      <c r="E152" s="98"/>
      <c r="F152" s="99" t="n">
        <v>0</v>
      </c>
      <c r="G152" s="99" t="n">
        <v>0</v>
      </c>
      <c r="H152" s="100" t="str">
        <f aca="false">IF(F152+G152=0,"",F152+G152)</f>
        <v/>
      </c>
      <c r="I152" s="101" t="str">
        <f aca="false">IF(H152="","",IF(I151="",H152,I151+H152))</f>
        <v/>
      </c>
    </row>
    <row r="153" customFormat="false" ht="19.5" hidden="false" customHeight="true" outlineLevel="0" collapsed="false">
      <c r="A153" s="102"/>
      <c r="B153" s="103"/>
      <c r="C153" s="103"/>
      <c r="D153" s="104"/>
      <c r="E153" s="105"/>
      <c r="F153" s="106" t="n">
        <v>0</v>
      </c>
      <c r="G153" s="106" t="n">
        <v>0</v>
      </c>
      <c r="H153" s="107" t="str">
        <f aca="false">IF(F153+G153=0,"",F153+G153)</f>
        <v/>
      </c>
      <c r="I153" s="108" t="str">
        <f aca="false">IF(H153="","",IF(I152="",H153,I152+H153))</f>
        <v/>
      </c>
    </row>
    <row r="154" customFormat="false" ht="19.5" hidden="false" customHeight="true" outlineLevel="0" collapsed="false">
      <c r="A154" s="95"/>
      <c r="B154" s="96"/>
      <c r="C154" s="96"/>
      <c r="D154" s="97"/>
      <c r="E154" s="98"/>
      <c r="F154" s="99" t="n">
        <v>0</v>
      </c>
      <c r="G154" s="99" t="n">
        <v>0</v>
      </c>
      <c r="H154" s="100" t="str">
        <f aca="false">IF(F154+G154=0,"",F154+G154)</f>
        <v/>
      </c>
      <c r="I154" s="101" t="str">
        <f aca="false">IF(H154="","",IF(I153="",H154,I153+H154))</f>
        <v/>
      </c>
    </row>
    <row r="155" customFormat="false" ht="19.5" hidden="false" customHeight="true" outlineLevel="0" collapsed="false">
      <c r="A155" s="102"/>
      <c r="B155" s="103"/>
      <c r="C155" s="103"/>
      <c r="D155" s="104"/>
      <c r="E155" s="105"/>
      <c r="F155" s="106" t="n">
        <v>0</v>
      </c>
      <c r="G155" s="106" t="n">
        <v>0</v>
      </c>
      <c r="H155" s="107" t="str">
        <f aca="false">IF(F155+G155=0,"",F155+G155)</f>
        <v/>
      </c>
      <c r="I155" s="108" t="str">
        <f aca="false">IF(H155="","",IF(I154="",H155,I154+H155))</f>
        <v/>
      </c>
    </row>
    <row r="156" customFormat="false" ht="19.5" hidden="false" customHeight="true" outlineLevel="0" collapsed="false">
      <c r="A156" s="95"/>
      <c r="B156" s="96"/>
      <c r="C156" s="96"/>
      <c r="D156" s="97"/>
      <c r="E156" s="98"/>
      <c r="F156" s="99" t="n">
        <v>0</v>
      </c>
      <c r="G156" s="99" t="n">
        <v>0</v>
      </c>
      <c r="H156" s="100" t="str">
        <f aca="false">IF(F156+G156=0,"",F156+G156)</f>
        <v/>
      </c>
      <c r="I156" s="101" t="str">
        <f aca="false">IF(H156="","",IF(I155="",H156,I155+H156))</f>
        <v/>
      </c>
    </row>
    <row r="157" customFormat="false" ht="19.5" hidden="false" customHeight="true" outlineLevel="0" collapsed="false">
      <c r="A157" s="102"/>
      <c r="B157" s="103"/>
      <c r="C157" s="103"/>
      <c r="D157" s="104"/>
      <c r="E157" s="105"/>
      <c r="F157" s="106" t="n">
        <v>0</v>
      </c>
      <c r="G157" s="106" t="n">
        <v>0</v>
      </c>
      <c r="H157" s="107" t="str">
        <f aca="false">IF(F157+G157=0,"",F157+G157)</f>
        <v/>
      </c>
      <c r="I157" s="108" t="str">
        <f aca="false">IF(H157="","",IF(I156="",H157,I156+H157))</f>
        <v/>
      </c>
    </row>
    <row r="158" customFormat="false" ht="19.5" hidden="false" customHeight="true" outlineLevel="0" collapsed="false">
      <c r="A158" s="95"/>
      <c r="B158" s="96"/>
      <c r="C158" s="96"/>
      <c r="D158" s="97"/>
      <c r="E158" s="98"/>
      <c r="F158" s="99" t="n">
        <v>0</v>
      </c>
      <c r="G158" s="99" t="n">
        <v>0</v>
      </c>
      <c r="H158" s="100" t="str">
        <f aca="false">IF(F158+G158=0,"",F158+G158)</f>
        <v/>
      </c>
      <c r="I158" s="101" t="str">
        <f aca="false">IF(H158="","",IF(I157="",H158,I157+H158))</f>
        <v/>
      </c>
    </row>
    <row r="159" customFormat="false" ht="19.5" hidden="false" customHeight="true" outlineLevel="0" collapsed="false">
      <c r="A159" s="102"/>
      <c r="B159" s="103"/>
      <c r="C159" s="103"/>
      <c r="D159" s="104"/>
      <c r="E159" s="105"/>
      <c r="F159" s="106" t="n">
        <v>0</v>
      </c>
      <c r="G159" s="106" t="n">
        <v>0</v>
      </c>
      <c r="H159" s="107" t="str">
        <f aca="false">IF(F159+G159=0,"",F159+G159)</f>
        <v/>
      </c>
      <c r="I159" s="108" t="str">
        <f aca="false">IF(H159="","",IF(I158="",H159,I158+H159))</f>
        <v/>
      </c>
    </row>
    <row r="160" customFormat="false" ht="19.5" hidden="false" customHeight="true" outlineLevel="0" collapsed="false">
      <c r="A160" s="95"/>
      <c r="B160" s="96"/>
      <c r="C160" s="96"/>
      <c r="D160" s="97"/>
      <c r="E160" s="98"/>
      <c r="F160" s="99" t="n">
        <v>0</v>
      </c>
      <c r="G160" s="99" t="n">
        <v>0</v>
      </c>
      <c r="H160" s="100" t="str">
        <f aca="false">IF(F160+G160=0,"",F160+G160)</f>
        <v/>
      </c>
      <c r="I160" s="101" t="str">
        <f aca="false">IF(H160="","",IF(I159="",H160,I159+H160))</f>
        <v/>
      </c>
    </row>
    <row r="161" customFormat="false" ht="19.5" hidden="false" customHeight="true" outlineLevel="0" collapsed="false">
      <c r="A161" s="102"/>
      <c r="B161" s="103"/>
      <c r="C161" s="103"/>
      <c r="D161" s="104"/>
      <c r="E161" s="105"/>
      <c r="F161" s="106" t="n">
        <v>0</v>
      </c>
      <c r="G161" s="106" t="n">
        <v>0</v>
      </c>
      <c r="H161" s="107" t="str">
        <f aca="false">IF(F161+G161=0,"",F161+G161)</f>
        <v/>
      </c>
      <c r="I161" s="108" t="str">
        <f aca="false">IF(H161="","",IF(I160="",H161,I160+H161))</f>
        <v/>
      </c>
    </row>
    <row r="162" customFormat="false" ht="19.5" hidden="false" customHeight="true" outlineLevel="0" collapsed="false">
      <c r="A162" s="95"/>
      <c r="B162" s="96"/>
      <c r="C162" s="96"/>
      <c r="D162" s="97"/>
      <c r="E162" s="98"/>
      <c r="F162" s="99" t="n">
        <v>0</v>
      </c>
      <c r="G162" s="99" t="n">
        <v>0</v>
      </c>
      <c r="H162" s="100" t="str">
        <f aca="false">IF(F162+G162=0,"",F162+G162)</f>
        <v/>
      </c>
      <c r="I162" s="101" t="str">
        <f aca="false">IF(H162="","",IF(I161="",H162,I161+H162))</f>
        <v/>
      </c>
    </row>
    <row r="163" customFormat="false" ht="19.5" hidden="false" customHeight="true" outlineLevel="0" collapsed="false">
      <c r="A163" s="102"/>
      <c r="B163" s="103"/>
      <c r="C163" s="103"/>
      <c r="D163" s="104"/>
      <c r="E163" s="105"/>
      <c r="F163" s="106" t="n">
        <v>0</v>
      </c>
      <c r="G163" s="106" t="n">
        <v>0</v>
      </c>
      <c r="H163" s="107" t="str">
        <f aca="false">IF(F163+G163=0,"",F163+G163)</f>
        <v/>
      </c>
      <c r="I163" s="108" t="str">
        <f aca="false">IF(H163="","",IF(I162="",H163,I162+H163))</f>
        <v/>
      </c>
    </row>
    <row r="164" customFormat="false" ht="19.5" hidden="false" customHeight="true" outlineLevel="0" collapsed="false">
      <c r="A164" s="95"/>
      <c r="B164" s="96"/>
      <c r="C164" s="96"/>
      <c r="D164" s="97"/>
      <c r="E164" s="98"/>
      <c r="F164" s="99" t="n">
        <v>0</v>
      </c>
      <c r="G164" s="99" t="n">
        <v>0</v>
      </c>
      <c r="H164" s="100" t="str">
        <f aca="false">IF(F164+G164=0,"",F164+G164)</f>
        <v/>
      </c>
      <c r="I164" s="101" t="str">
        <f aca="false">IF(H164="","",IF(I163="",H164,I163+H164))</f>
        <v/>
      </c>
    </row>
    <row r="165" customFormat="false" ht="19.5" hidden="false" customHeight="true" outlineLevel="0" collapsed="false">
      <c r="A165" s="102"/>
      <c r="B165" s="103"/>
      <c r="C165" s="103"/>
      <c r="D165" s="104"/>
      <c r="E165" s="105"/>
      <c r="F165" s="106" t="n">
        <v>0</v>
      </c>
      <c r="G165" s="106" t="n">
        <v>0</v>
      </c>
      <c r="H165" s="107" t="str">
        <f aca="false">IF(F165+G165=0,"",F165+G165)</f>
        <v/>
      </c>
      <c r="I165" s="108" t="str">
        <f aca="false">IF(H165="","",IF(I164="",H165,I164+H165))</f>
        <v/>
      </c>
    </row>
    <row r="166" customFormat="false" ht="19.5" hidden="false" customHeight="true" outlineLevel="0" collapsed="false">
      <c r="A166" s="95"/>
      <c r="B166" s="96"/>
      <c r="C166" s="96"/>
      <c r="D166" s="97"/>
      <c r="E166" s="98"/>
      <c r="F166" s="99" t="n">
        <v>0</v>
      </c>
      <c r="G166" s="99" t="n">
        <v>0</v>
      </c>
      <c r="H166" s="100" t="str">
        <f aca="false">IF(F166+G166=0,"",F166+G166)</f>
        <v/>
      </c>
      <c r="I166" s="101" t="str">
        <f aca="false">IF(H166="","",IF(I165="",H166,I165+H166))</f>
        <v/>
      </c>
    </row>
    <row r="167" customFormat="false" ht="19.5" hidden="false" customHeight="true" outlineLevel="0" collapsed="false">
      <c r="A167" s="102"/>
      <c r="B167" s="103"/>
      <c r="C167" s="103"/>
      <c r="D167" s="104"/>
      <c r="E167" s="105"/>
      <c r="F167" s="106" t="n">
        <v>0</v>
      </c>
      <c r="G167" s="106" t="n">
        <v>0</v>
      </c>
      <c r="H167" s="107" t="str">
        <f aca="false">IF(F167+G167=0,"",F167+G167)</f>
        <v/>
      </c>
      <c r="I167" s="108" t="str">
        <f aca="false">IF(H167="","",IF(I166="",H167,I166+H167))</f>
        <v/>
      </c>
    </row>
    <row r="168" customFormat="false" ht="19.5" hidden="false" customHeight="true" outlineLevel="0" collapsed="false">
      <c r="A168" s="95"/>
      <c r="B168" s="96"/>
      <c r="C168" s="96"/>
      <c r="D168" s="97"/>
      <c r="E168" s="98"/>
      <c r="F168" s="99" t="n">
        <v>0</v>
      </c>
      <c r="G168" s="99" t="n">
        <v>0</v>
      </c>
      <c r="H168" s="100" t="str">
        <f aca="false">IF(F168+G168=0,"",F168+G168)</f>
        <v/>
      </c>
      <c r="I168" s="101" t="str">
        <f aca="false">IF(H168="","",IF(I167="",H168,I167+H168))</f>
        <v/>
      </c>
    </row>
    <row r="169" customFormat="false" ht="19.5" hidden="false" customHeight="true" outlineLevel="0" collapsed="false">
      <c r="A169" s="102"/>
      <c r="B169" s="103"/>
      <c r="C169" s="103"/>
      <c r="D169" s="104"/>
      <c r="E169" s="105"/>
      <c r="F169" s="106" t="n">
        <v>0</v>
      </c>
      <c r="G169" s="106" t="n">
        <v>0</v>
      </c>
      <c r="H169" s="107" t="str">
        <f aca="false">IF(F169+G169=0,"",F169+G169)</f>
        <v/>
      </c>
      <c r="I169" s="108" t="str">
        <f aca="false">IF(H169="","",IF(I168="",H169,I168+H169))</f>
        <v/>
      </c>
    </row>
    <row r="170" customFormat="false" ht="19.5" hidden="false" customHeight="true" outlineLevel="0" collapsed="false">
      <c r="A170" s="95"/>
      <c r="B170" s="96"/>
      <c r="C170" s="96"/>
      <c r="D170" s="97"/>
      <c r="E170" s="98"/>
      <c r="F170" s="99" t="n">
        <v>0</v>
      </c>
      <c r="G170" s="99" t="n">
        <v>0</v>
      </c>
      <c r="H170" s="100" t="str">
        <f aca="false">IF(F170+G170=0,"",F170+G170)</f>
        <v/>
      </c>
      <c r="I170" s="101" t="str">
        <f aca="false">IF(H170="","",IF(I169="",H170,I169+H170))</f>
        <v/>
      </c>
    </row>
    <row r="171" customFormat="false" ht="19.5" hidden="false" customHeight="true" outlineLevel="0" collapsed="false">
      <c r="A171" s="102"/>
      <c r="B171" s="103"/>
      <c r="C171" s="103"/>
      <c r="D171" s="104"/>
      <c r="E171" s="105"/>
      <c r="F171" s="106" t="n">
        <v>0</v>
      </c>
      <c r="G171" s="106" t="n">
        <v>0</v>
      </c>
      <c r="H171" s="107" t="str">
        <f aca="false">IF(F171+G171=0,"",F171+G171)</f>
        <v/>
      </c>
      <c r="I171" s="108" t="str">
        <f aca="false">IF(H171="","",IF(I170="",H171,I170+H171))</f>
        <v/>
      </c>
    </row>
    <row r="172" customFormat="false" ht="19.5" hidden="false" customHeight="true" outlineLevel="0" collapsed="false">
      <c r="A172" s="95"/>
      <c r="B172" s="96"/>
      <c r="C172" s="96"/>
      <c r="D172" s="97"/>
      <c r="E172" s="98"/>
      <c r="F172" s="99" t="n">
        <v>0</v>
      </c>
      <c r="G172" s="99" t="n">
        <v>0</v>
      </c>
      <c r="H172" s="100" t="str">
        <f aca="false">IF(F172+G172=0,"",F172+G172)</f>
        <v/>
      </c>
      <c r="I172" s="101" t="str">
        <f aca="false">IF(H172="","",IF(I171="",H172,I171+H172))</f>
        <v/>
      </c>
    </row>
    <row r="173" customFormat="false" ht="19.5" hidden="false" customHeight="true" outlineLevel="0" collapsed="false">
      <c r="A173" s="102"/>
      <c r="B173" s="103"/>
      <c r="C173" s="103"/>
      <c r="D173" s="104"/>
      <c r="E173" s="105"/>
      <c r="F173" s="106" t="n">
        <v>0</v>
      </c>
      <c r="G173" s="106" t="n">
        <v>0</v>
      </c>
      <c r="H173" s="107" t="str">
        <f aca="false">IF(F173+G173=0,"",F173+G173)</f>
        <v/>
      </c>
      <c r="I173" s="108" t="str">
        <f aca="false">IF(H173="","",IF(I172="",H173,I172+H173))</f>
        <v/>
      </c>
    </row>
    <row r="174" customFormat="false" ht="19.5" hidden="false" customHeight="true" outlineLevel="0" collapsed="false">
      <c r="A174" s="95"/>
      <c r="B174" s="96"/>
      <c r="C174" s="96"/>
      <c r="D174" s="97"/>
      <c r="E174" s="98"/>
      <c r="F174" s="99" t="n">
        <v>0</v>
      </c>
      <c r="G174" s="99" t="n">
        <v>0</v>
      </c>
      <c r="H174" s="100" t="str">
        <f aca="false">IF(F174+G174=0,"",F174+G174)</f>
        <v/>
      </c>
      <c r="I174" s="101" t="str">
        <f aca="false">IF(H174="","",IF(I173="",H174,I173+H174))</f>
        <v/>
      </c>
    </row>
    <row r="175" customFormat="false" ht="19.5" hidden="false" customHeight="true" outlineLevel="0" collapsed="false">
      <c r="A175" s="102"/>
      <c r="B175" s="103"/>
      <c r="C175" s="103"/>
      <c r="D175" s="104"/>
      <c r="E175" s="105"/>
      <c r="F175" s="106" t="n">
        <v>0</v>
      </c>
      <c r="G175" s="106" t="n">
        <v>0</v>
      </c>
      <c r="H175" s="107" t="str">
        <f aca="false">IF(F175+G175=0,"",F175+G175)</f>
        <v/>
      </c>
      <c r="I175" s="108" t="str">
        <f aca="false">IF(H175="","",IF(I174="",H175,I174+H175))</f>
        <v/>
      </c>
    </row>
    <row r="176" customFormat="false" ht="19.5" hidden="false" customHeight="true" outlineLevel="0" collapsed="false">
      <c r="A176" s="95"/>
      <c r="B176" s="96"/>
      <c r="C176" s="96"/>
      <c r="D176" s="97"/>
      <c r="E176" s="98"/>
      <c r="F176" s="99" t="n">
        <v>0</v>
      </c>
      <c r="G176" s="99" t="n">
        <v>0</v>
      </c>
      <c r="H176" s="100" t="str">
        <f aca="false">IF(F176+G176=0,"",F176+G176)</f>
        <v/>
      </c>
      <c r="I176" s="101" t="str">
        <f aca="false">IF(H176="","",IF(I175="",H176,I175+H176))</f>
        <v/>
      </c>
    </row>
    <row r="177" customFormat="false" ht="19.5" hidden="false" customHeight="true" outlineLevel="0" collapsed="false">
      <c r="A177" s="102"/>
      <c r="B177" s="103"/>
      <c r="C177" s="103"/>
      <c r="D177" s="104"/>
      <c r="E177" s="105"/>
      <c r="F177" s="106" t="n">
        <v>0</v>
      </c>
      <c r="G177" s="106" t="n">
        <v>0</v>
      </c>
      <c r="H177" s="107" t="str">
        <f aca="false">IF(F177+G177=0,"",F177+G177)</f>
        <v/>
      </c>
      <c r="I177" s="108" t="str">
        <f aca="false">IF(H177="","",IF(I176="",H177,I176+H177))</f>
        <v/>
      </c>
    </row>
    <row r="178" customFormat="false" ht="19.5" hidden="false" customHeight="true" outlineLevel="0" collapsed="false">
      <c r="A178" s="95"/>
      <c r="B178" s="96"/>
      <c r="C178" s="96"/>
      <c r="D178" s="97"/>
      <c r="E178" s="98"/>
      <c r="F178" s="99" t="n">
        <v>0</v>
      </c>
      <c r="G178" s="99" t="n">
        <v>0</v>
      </c>
      <c r="H178" s="100" t="str">
        <f aca="false">IF(F178+G178=0,"",F178+G178)</f>
        <v/>
      </c>
      <c r="I178" s="101" t="str">
        <f aca="false">IF(H178="","",IF(I177="",H178,I177+H178))</f>
        <v/>
      </c>
    </row>
    <row r="179" customFormat="false" ht="19.5" hidden="false" customHeight="true" outlineLevel="0" collapsed="false">
      <c r="A179" s="102"/>
      <c r="B179" s="103"/>
      <c r="C179" s="103"/>
      <c r="D179" s="104"/>
      <c r="E179" s="105"/>
      <c r="F179" s="106" t="n">
        <v>0</v>
      </c>
      <c r="G179" s="106" t="n">
        <v>0</v>
      </c>
      <c r="H179" s="107" t="str">
        <f aca="false">IF(F179+G179=0,"",F179+G179)</f>
        <v/>
      </c>
      <c r="I179" s="108" t="str">
        <f aca="false">IF(H179="","",IF(I178="",H179,I178+H179))</f>
        <v/>
      </c>
    </row>
    <row r="180" customFormat="false" ht="19.5" hidden="false" customHeight="true" outlineLevel="0" collapsed="false">
      <c r="A180" s="95"/>
      <c r="B180" s="96"/>
      <c r="C180" s="96"/>
      <c r="D180" s="97"/>
      <c r="E180" s="98"/>
      <c r="F180" s="99" t="n">
        <v>0</v>
      </c>
      <c r="G180" s="99" t="n">
        <v>0</v>
      </c>
      <c r="H180" s="100" t="str">
        <f aca="false">IF(F180+G180=0,"",F180+G180)</f>
        <v/>
      </c>
      <c r="I180" s="101" t="str">
        <f aca="false">IF(H180="","",IF(I179="",H180,I179+H180))</f>
        <v/>
      </c>
    </row>
    <row r="181" customFormat="false" ht="19.5" hidden="false" customHeight="true" outlineLevel="0" collapsed="false">
      <c r="A181" s="102"/>
      <c r="B181" s="103"/>
      <c r="C181" s="103"/>
      <c r="D181" s="104"/>
      <c r="E181" s="105"/>
      <c r="F181" s="106" t="n">
        <v>0</v>
      </c>
      <c r="G181" s="106" t="n">
        <v>0</v>
      </c>
      <c r="H181" s="107" t="str">
        <f aca="false">IF(F181+G181=0,"",F181+G181)</f>
        <v/>
      </c>
      <c r="I181" s="108" t="str">
        <f aca="false">IF(H181="","",IF(I180="",H181,I180+H181))</f>
        <v/>
      </c>
    </row>
    <row r="182" customFormat="false" ht="19.5" hidden="false" customHeight="true" outlineLevel="0" collapsed="false">
      <c r="A182" s="95"/>
      <c r="B182" s="96"/>
      <c r="C182" s="96"/>
      <c r="D182" s="97"/>
      <c r="E182" s="98"/>
      <c r="F182" s="99" t="n">
        <v>0</v>
      </c>
      <c r="G182" s="99" t="n">
        <v>0</v>
      </c>
      <c r="H182" s="100" t="str">
        <f aca="false">IF(F182+G182=0,"",F182+G182)</f>
        <v/>
      </c>
      <c r="I182" s="101" t="str">
        <f aca="false">IF(H182="","",IF(I181="",H182,I181+H182))</f>
        <v/>
      </c>
    </row>
    <row r="183" customFormat="false" ht="19.5" hidden="false" customHeight="true" outlineLevel="0" collapsed="false">
      <c r="A183" s="102"/>
      <c r="B183" s="103"/>
      <c r="C183" s="103"/>
      <c r="D183" s="104"/>
      <c r="E183" s="105"/>
      <c r="F183" s="106" t="n">
        <v>0</v>
      </c>
      <c r="G183" s="106" t="n">
        <v>0</v>
      </c>
      <c r="H183" s="107" t="str">
        <f aca="false">IF(F183+G183=0,"",F183+G183)</f>
        <v/>
      </c>
      <c r="I183" s="108" t="str">
        <f aca="false">IF(H183="","",IF(I182="",H183,I182+H183))</f>
        <v/>
      </c>
    </row>
    <row r="184" customFormat="false" ht="19.5" hidden="false" customHeight="true" outlineLevel="0" collapsed="false">
      <c r="A184" s="95"/>
      <c r="B184" s="96"/>
      <c r="C184" s="96"/>
      <c r="D184" s="97"/>
      <c r="E184" s="98"/>
      <c r="F184" s="99" t="n">
        <v>0</v>
      </c>
      <c r="G184" s="99" t="n">
        <v>0</v>
      </c>
      <c r="H184" s="100" t="str">
        <f aca="false">IF(F184+G184=0,"",F184+G184)</f>
        <v/>
      </c>
      <c r="I184" s="101" t="str">
        <f aca="false">IF(H184="","",IF(I183="",H184,I183+H184))</f>
        <v/>
      </c>
    </row>
    <row r="185" customFormat="false" ht="19.5" hidden="false" customHeight="true" outlineLevel="0" collapsed="false">
      <c r="A185" s="102"/>
      <c r="B185" s="103"/>
      <c r="C185" s="103"/>
      <c r="D185" s="104"/>
      <c r="E185" s="105"/>
      <c r="F185" s="106" t="n">
        <v>0</v>
      </c>
      <c r="G185" s="106" t="n">
        <v>0</v>
      </c>
      <c r="H185" s="107" t="str">
        <f aca="false">IF(F185+G185=0,"",F185+G185)</f>
        <v/>
      </c>
      <c r="I185" s="108" t="str">
        <f aca="false">IF(H185="","",IF(I184="",H185,I184+H185))</f>
        <v/>
      </c>
    </row>
    <row r="186" customFormat="false" ht="19.5" hidden="false" customHeight="true" outlineLevel="0" collapsed="false">
      <c r="A186" s="95"/>
      <c r="B186" s="96"/>
      <c r="C186" s="96"/>
      <c r="D186" s="97"/>
      <c r="E186" s="98"/>
      <c r="F186" s="99" t="n">
        <v>0</v>
      </c>
      <c r="G186" s="99" t="n">
        <v>0</v>
      </c>
      <c r="H186" s="100" t="str">
        <f aca="false">IF(F186+G186=0,"",F186+G186)</f>
        <v/>
      </c>
      <c r="I186" s="101" t="str">
        <f aca="false">IF(H186="","",IF(I185="",H186,I185+H186))</f>
        <v/>
      </c>
    </row>
    <row r="187" customFormat="false" ht="19.5" hidden="false" customHeight="true" outlineLevel="0" collapsed="false">
      <c r="A187" s="102"/>
      <c r="B187" s="103"/>
      <c r="C187" s="103"/>
      <c r="D187" s="104"/>
      <c r="E187" s="105"/>
      <c r="F187" s="106" t="n">
        <v>0</v>
      </c>
      <c r="G187" s="106" t="n">
        <v>0</v>
      </c>
      <c r="H187" s="107" t="str">
        <f aca="false">IF(F187+G187=0,"",F187+G187)</f>
        <v/>
      </c>
      <c r="I187" s="108" t="str">
        <f aca="false">IF(H187="","",IF(I186="",H187,I186+H187))</f>
        <v/>
      </c>
    </row>
    <row r="188" customFormat="false" ht="19.5" hidden="false" customHeight="true" outlineLevel="0" collapsed="false">
      <c r="A188" s="95"/>
      <c r="B188" s="96"/>
      <c r="C188" s="96"/>
      <c r="D188" s="97"/>
      <c r="E188" s="98"/>
      <c r="F188" s="99" t="n">
        <v>0</v>
      </c>
      <c r="G188" s="99" t="n">
        <v>0</v>
      </c>
      <c r="H188" s="100" t="str">
        <f aca="false">IF(F188+G188=0,"",F188+G188)</f>
        <v/>
      </c>
      <c r="I188" s="101" t="str">
        <f aca="false">IF(H188="","",IF(I187="",H188,I187+H188))</f>
        <v/>
      </c>
    </row>
    <row r="189" customFormat="false" ht="19.5" hidden="false" customHeight="true" outlineLevel="0" collapsed="false">
      <c r="A189" s="102"/>
      <c r="B189" s="103"/>
      <c r="C189" s="103"/>
      <c r="D189" s="104"/>
      <c r="E189" s="105"/>
      <c r="F189" s="106" t="n">
        <v>0</v>
      </c>
      <c r="G189" s="106" t="n">
        <v>0</v>
      </c>
      <c r="H189" s="107" t="str">
        <f aca="false">IF(F189+G189=0,"",F189+G189)</f>
        <v/>
      </c>
      <c r="I189" s="108" t="str">
        <f aca="false">IF(H189="","",IF(I188="",H189,I188+H189))</f>
        <v/>
      </c>
    </row>
    <row r="190" customFormat="false" ht="19.5" hidden="false" customHeight="true" outlineLevel="0" collapsed="false">
      <c r="A190" s="95"/>
      <c r="B190" s="96"/>
      <c r="C190" s="96"/>
      <c r="D190" s="97"/>
      <c r="E190" s="98"/>
      <c r="F190" s="99" t="n">
        <v>0</v>
      </c>
      <c r="G190" s="99" t="n">
        <v>0</v>
      </c>
      <c r="H190" s="100" t="str">
        <f aca="false">IF(F190+G190=0,"",F190+G190)</f>
        <v/>
      </c>
      <c r="I190" s="101" t="str">
        <f aca="false">IF(H190="","",IF(I189="",H190,I189+H190))</f>
        <v/>
      </c>
    </row>
    <row r="191" customFormat="false" ht="19.5" hidden="false" customHeight="true" outlineLevel="0" collapsed="false">
      <c r="A191" s="102"/>
      <c r="B191" s="103"/>
      <c r="C191" s="103"/>
      <c r="D191" s="104"/>
      <c r="E191" s="105"/>
      <c r="F191" s="106" t="n">
        <v>0</v>
      </c>
      <c r="G191" s="106" t="n">
        <v>0</v>
      </c>
      <c r="H191" s="107" t="str">
        <f aca="false">IF(F191+G191=0,"",F191+G191)</f>
        <v/>
      </c>
      <c r="I191" s="108" t="str">
        <f aca="false">IF(H191="","",IF(I190="",H191,I190+H191))</f>
        <v/>
      </c>
    </row>
    <row r="192" customFormat="false" ht="19.5" hidden="false" customHeight="true" outlineLevel="0" collapsed="false">
      <c r="A192" s="95"/>
      <c r="B192" s="96"/>
      <c r="C192" s="96"/>
      <c r="D192" s="97"/>
      <c r="E192" s="98"/>
      <c r="F192" s="99" t="n">
        <v>0</v>
      </c>
      <c r="G192" s="99" t="n">
        <v>0</v>
      </c>
      <c r="H192" s="100" t="str">
        <f aca="false">IF(F192+G192=0,"",F192+G192)</f>
        <v/>
      </c>
      <c r="I192" s="101" t="str">
        <f aca="false">IF(H192="","",IF(I191="",H192,I191+H192))</f>
        <v/>
      </c>
    </row>
    <row r="193" customFormat="false" ht="19.5" hidden="false" customHeight="true" outlineLevel="0" collapsed="false">
      <c r="A193" s="102"/>
      <c r="B193" s="103"/>
      <c r="C193" s="103"/>
      <c r="D193" s="104"/>
      <c r="E193" s="105"/>
      <c r="F193" s="106" t="n">
        <v>0</v>
      </c>
      <c r="G193" s="106" t="n">
        <v>0</v>
      </c>
      <c r="H193" s="107" t="str">
        <f aca="false">IF(F193+G193=0,"",F193+G193)</f>
        <v/>
      </c>
      <c r="I193" s="108" t="str">
        <f aca="false">IF(H193="","",IF(I192="",H193,I192+H193))</f>
        <v/>
      </c>
    </row>
    <row r="194" customFormat="false" ht="19.5" hidden="false" customHeight="true" outlineLevel="0" collapsed="false">
      <c r="A194" s="95"/>
      <c r="B194" s="96"/>
      <c r="C194" s="96"/>
      <c r="D194" s="97"/>
      <c r="E194" s="98"/>
      <c r="F194" s="99" t="n">
        <v>0</v>
      </c>
      <c r="G194" s="99" t="n">
        <v>0</v>
      </c>
      <c r="H194" s="100" t="str">
        <f aca="false">IF(F194+G194=0,"",F194+G194)</f>
        <v/>
      </c>
      <c r="I194" s="101" t="str">
        <f aca="false">IF(H194="","",IF(I193="",H194,I193+H194))</f>
        <v/>
      </c>
    </row>
    <row r="195" customFormat="false" ht="19.5" hidden="false" customHeight="true" outlineLevel="0" collapsed="false">
      <c r="A195" s="102"/>
      <c r="B195" s="103"/>
      <c r="C195" s="103"/>
      <c r="D195" s="104"/>
      <c r="E195" s="105"/>
      <c r="F195" s="106" t="n">
        <v>0</v>
      </c>
      <c r="G195" s="106" t="n">
        <v>0</v>
      </c>
      <c r="H195" s="107" t="str">
        <f aca="false">IF(F195+G195=0,"",F195+G195)</f>
        <v/>
      </c>
      <c r="I195" s="108" t="str">
        <f aca="false">IF(H195="","",IF(I194="",H195,I194+H195))</f>
        <v/>
      </c>
    </row>
    <row r="196" customFormat="false" ht="19.5" hidden="false" customHeight="true" outlineLevel="0" collapsed="false">
      <c r="A196" s="95"/>
      <c r="B196" s="96"/>
      <c r="C196" s="96"/>
      <c r="D196" s="97"/>
      <c r="E196" s="98"/>
      <c r="F196" s="99" t="n">
        <v>0</v>
      </c>
      <c r="G196" s="99" t="n">
        <v>0</v>
      </c>
      <c r="H196" s="100" t="str">
        <f aca="false">IF(F196+G196=0,"",F196+G196)</f>
        <v/>
      </c>
      <c r="I196" s="101" t="str">
        <f aca="false">IF(H196="","",IF(I195="",H196,I195+H196))</f>
        <v/>
      </c>
    </row>
    <row r="197" customFormat="false" ht="19.5" hidden="false" customHeight="true" outlineLevel="0" collapsed="false">
      <c r="A197" s="102"/>
      <c r="B197" s="103"/>
      <c r="C197" s="103"/>
      <c r="D197" s="104"/>
      <c r="E197" s="105"/>
      <c r="F197" s="106" t="n">
        <v>0</v>
      </c>
      <c r="G197" s="106" t="n">
        <v>0</v>
      </c>
      <c r="H197" s="107" t="str">
        <f aca="false">IF(F197+G197=0,"",F197+G197)</f>
        <v/>
      </c>
      <c r="I197" s="108" t="str">
        <f aca="false">IF(H197="","",IF(I196="",H197,I196+H197))</f>
        <v/>
      </c>
    </row>
    <row r="198" customFormat="false" ht="19.5" hidden="false" customHeight="true" outlineLevel="0" collapsed="false">
      <c r="A198" s="95"/>
      <c r="B198" s="96"/>
      <c r="C198" s="96"/>
      <c r="D198" s="97"/>
      <c r="E198" s="98"/>
      <c r="F198" s="99" t="n">
        <v>0</v>
      </c>
      <c r="G198" s="99" t="n">
        <v>0</v>
      </c>
      <c r="H198" s="100" t="str">
        <f aca="false">IF(F198+G198=0,"",F198+G198)</f>
        <v/>
      </c>
      <c r="I198" s="101" t="str">
        <f aca="false">IF(H198="","",IF(I197="",H198,I197+H198))</f>
        <v/>
      </c>
    </row>
    <row r="199" customFormat="false" ht="19.5" hidden="false" customHeight="true" outlineLevel="0" collapsed="false">
      <c r="A199" s="102"/>
      <c r="B199" s="103"/>
      <c r="C199" s="103"/>
      <c r="D199" s="104"/>
      <c r="E199" s="105"/>
      <c r="F199" s="106" t="n">
        <v>0</v>
      </c>
      <c r="G199" s="106" t="n">
        <v>0</v>
      </c>
      <c r="H199" s="107" t="str">
        <f aca="false">IF(F199+G199=0,"",F199+G199)</f>
        <v/>
      </c>
      <c r="I199" s="108" t="str">
        <f aca="false">IF(H199="","",IF(I198="",H199,I198+H199))</f>
        <v/>
      </c>
    </row>
    <row r="200" customFormat="false" ht="19.5" hidden="false" customHeight="true" outlineLevel="0" collapsed="false">
      <c r="A200" s="95"/>
      <c r="B200" s="96"/>
      <c r="C200" s="96"/>
      <c r="D200" s="97"/>
      <c r="E200" s="98"/>
      <c r="F200" s="99" t="n">
        <v>0</v>
      </c>
      <c r="G200" s="99" t="n">
        <v>0</v>
      </c>
      <c r="H200" s="100" t="str">
        <f aca="false">IF(F200+G200=0,"",F200+G200)</f>
        <v/>
      </c>
      <c r="I200" s="101" t="str">
        <f aca="false">IF(H200="","",IF(I199="",H200,I199+H200))</f>
        <v/>
      </c>
    </row>
    <row r="201" customFormat="false" ht="19.5" hidden="false" customHeight="true" outlineLevel="0" collapsed="false">
      <c r="A201" s="102"/>
      <c r="B201" s="103"/>
      <c r="C201" s="103"/>
      <c r="D201" s="104"/>
      <c r="E201" s="105"/>
      <c r="F201" s="106" t="n">
        <v>0</v>
      </c>
      <c r="G201" s="106" t="n">
        <v>0</v>
      </c>
      <c r="H201" s="107" t="str">
        <f aca="false">IF(F201+G201=0,"",F201+G201)</f>
        <v/>
      </c>
      <c r="I201" s="108" t="str">
        <f aca="false">IF(H201="","",IF(I200="",H201,I200+H201))</f>
        <v/>
      </c>
    </row>
    <row r="202" customFormat="false" ht="19.5" hidden="false" customHeight="true" outlineLevel="0" collapsed="false">
      <c r="A202" s="95"/>
      <c r="B202" s="96"/>
      <c r="C202" s="96"/>
      <c r="D202" s="97"/>
      <c r="E202" s="98"/>
      <c r="F202" s="99" t="n">
        <v>0</v>
      </c>
      <c r="G202" s="99" t="n">
        <v>0</v>
      </c>
      <c r="H202" s="100" t="str">
        <f aca="false">IF(F202+G202=0,"",F202+G202)</f>
        <v/>
      </c>
      <c r="I202" s="101" t="str">
        <f aca="false">IF(H202="","",IF(I201="",H202,I201+H202))</f>
        <v/>
      </c>
    </row>
    <row r="203" customFormat="false" ht="19.5" hidden="false" customHeight="true" outlineLevel="0" collapsed="false">
      <c r="A203" s="102"/>
      <c r="B203" s="103"/>
      <c r="C203" s="103"/>
      <c r="D203" s="104"/>
      <c r="E203" s="105"/>
      <c r="F203" s="106" t="n">
        <v>0</v>
      </c>
      <c r="G203" s="106" t="n">
        <v>0</v>
      </c>
      <c r="H203" s="107" t="str">
        <f aca="false">IF(F203+G203=0,"",F203+G203)</f>
        <v/>
      </c>
      <c r="I203" s="108" t="str">
        <f aca="false">IF(H203="","",IF(I202="",H203,I202+H203))</f>
        <v/>
      </c>
    </row>
    <row r="204" customFormat="false" ht="15" hidden="false" customHeight="true" outlineLevel="0" collapsed="false">
      <c r="A204" s="95"/>
      <c r="B204" s="96"/>
      <c r="C204" s="96"/>
      <c r="D204" s="97"/>
      <c r="E204" s="98"/>
      <c r="F204" s="99" t="n">
        <v>0</v>
      </c>
      <c r="G204" s="99" t="n">
        <v>0</v>
      </c>
      <c r="H204" s="100" t="str">
        <f aca="false">IF(F204+G204=0,"",F204+G204)</f>
        <v/>
      </c>
      <c r="I204" s="101" t="str">
        <f aca="false">IF(H204="","",IF(I203="",H204,I203+H204))</f>
        <v/>
      </c>
    </row>
    <row r="205" customFormat="false" ht="25.5" hidden="false" customHeight="true" outlineLevel="0" collapsed="false">
      <c r="A205" s="102"/>
      <c r="B205" s="102"/>
      <c r="C205" s="102"/>
      <c r="D205" s="102"/>
      <c r="E205" s="102"/>
      <c r="F205" s="106" t="n">
        <v>0</v>
      </c>
      <c r="G205" s="106" t="n">
        <v>0</v>
      </c>
      <c r="H205" s="107" t="str">
        <f aca="false">IF(F205+G205=0,"",F205+G205)</f>
        <v/>
      </c>
      <c r="I205" s="108" t="str">
        <f aca="false">IF(H205="","",IF(I204="",H205,I204+H205))</f>
        <v/>
      </c>
    </row>
    <row r="206" customFormat="false" ht="15" hidden="false" customHeight="true" outlineLevel="0" collapsed="false">
      <c r="A206" s="4"/>
      <c r="B206" s="4"/>
      <c r="C206" s="4"/>
      <c r="D206" s="4"/>
      <c r="E206" s="4"/>
      <c r="F206" s="4"/>
      <c r="G206" s="4"/>
      <c r="H206" s="4"/>
      <c r="I206" s="4"/>
    </row>
    <row r="207" customFormat="false" ht="21.75" hidden="false" customHeight="true" outlineLevel="0" collapsed="false">
      <c r="A207" s="32" t="s">
        <v>218</v>
      </c>
      <c r="B207" s="32"/>
      <c r="C207" s="32"/>
      <c r="D207" s="32"/>
      <c r="E207" s="32"/>
      <c r="F207" s="32"/>
      <c r="G207" s="32"/>
      <c r="H207" s="32"/>
      <c r="I207" s="4"/>
    </row>
    <row r="208" customFormat="false" ht="19.5" hidden="false" customHeight="true" outlineLevel="0" collapsed="false">
      <c r="A208" s="4"/>
      <c r="B208" s="71"/>
      <c r="C208" s="71"/>
      <c r="D208" s="71"/>
      <c r="E208" s="71"/>
      <c r="F208" s="71"/>
      <c r="G208" s="71"/>
      <c r="H208" s="71"/>
      <c r="I208" s="4"/>
    </row>
    <row r="209" customFormat="false" ht="19.5" hidden="false" customHeight="true" outlineLevel="0" collapsed="false">
      <c r="A209" s="109" t="s">
        <v>219</v>
      </c>
      <c r="B209" s="73"/>
      <c r="C209" s="73"/>
      <c r="D209" s="73"/>
      <c r="E209" s="73"/>
      <c r="F209" s="73"/>
      <c r="G209" s="73"/>
      <c r="H209" s="73"/>
      <c r="I209" s="4"/>
    </row>
    <row r="210" customFormat="false" ht="19.5" hidden="false" customHeight="true" outlineLevel="0" collapsed="false">
      <c r="A210" s="110" t="s">
        <v>220</v>
      </c>
      <c r="B210" s="111" t="n">
        <f aca="false">SUMIF(B4:B203,"Zakat",H4:H203)</f>
        <v>0</v>
      </c>
      <c r="C210" s="111"/>
      <c r="D210" s="111"/>
      <c r="E210" s="111"/>
      <c r="F210" s="112" t="s">
        <v>221</v>
      </c>
      <c r="G210" s="112"/>
      <c r="H210" s="112"/>
      <c r="I210" s="4"/>
    </row>
    <row r="211" customFormat="false" ht="19.5" hidden="false" customHeight="true" outlineLevel="0" collapsed="false">
      <c r="A211" s="110" t="s">
        <v>222</v>
      </c>
      <c r="B211" s="111" t="n">
        <f aca="false">SUMIF(B4:B203,"Sadaqah",H4:H203)</f>
        <v>0</v>
      </c>
      <c r="C211" s="111"/>
      <c r="D211" s="111"/>
      <c r="E211" s="111"/>
      <c r="F211" s="112" t="s">
        <v>221</v>
      </c>
      <c r="G211" s="112"/>
      <c r="H211" s="112"/>
      <c r="I211" s="4"/>
    </row>
    <row r="212" customFormat="false" ht="23.25" hidden="false" customHeight="true" outlineLevel="0" collapsed="false">
      <c r="A212" s="110" t="s">
        <v>223</v>
      </c>
      <c r="B212" s="111" t="n">
        <f aca="false">SUMIF(B4:B203,"Fitrana",H4:H203)</f>
        <v>0</v>
      </c>
      <c r="C212" s="73"/>
      <c r="D212" s="73"/>
      <c r="E212" s="73"/>
      <c r="F212" s="112" t="s">
        <v>221</v>
      </c>
      <c r="G212" s="73"/>
      <c r="H212" s="73"/>
      <c r="I212" s="4"/>
    </row>
    <row r="213" customFormat="false" ht="34.5" hidden="false" customHeight="true" outlineLevel="0" collapsed="false">
      <c r="A213" s="110" t="s">
        <v>224</v>
      </c>
      <c r="B213" s="111" t="n">
        <f aca="false">SUMIF(B4:B203,"Qurbani",H4:H203)</f>
        <v>0</v>
      </c>
      <c r="C213" s="73"/>
      <c r="D213" s="73"/>
      <c r="E213" s="73"/>
      <c r="F213" s="112" t="s">
        <v>221</v>
      </c>
      <c r="G213" s="73"/>
      <c r="H213" s="73"/>
      <c r="I213" s="4"/>
    </row>
  </sheetData>
  <autoFilter ref="A5:I205"/>
  <mergeCells count="14">
    <mergeCell ref="A1:B1"/>
    <mergeCell ref="D1:I1"/>
    <mergeCell ref="A2:I2"/>
    <mergeCell ref="A3:I3"/>
    <mergeCell ref="A205:E205"/>
    <mergeCell ref="A207:H207"/>
    <mergeCell ref="B208:E208"/>
    <mergeCell ref="F208:H208"/>
    <mergeCell ref="B209:E209"/>
    <mergeCell ref="F209:H209"/>
    <mergeCell ref="B210:E210"/>
    <mergeCell ref="F210:H210"/>
    <mergeCell ref="B211:E211"/>
    <mergeCell ref="F211:H211"/>
  </mergeCells>
  <conditionalFormatting sqref="A6:I205">
    <cfRule type="expression" priority="2" aboveAverage="0" equalAverage="0" bottom="0" percent="0" rank="0" text="" dxfId="26">
      <formula>AND($C$1&lt;&gt;"",OR(ISNUMBER(SEARCH($C$1,$D6)),ISNUMBER(SEARCH($C$1,$E6)),ISNUMBER(SEARCH($C$1,$B6))))</formula>
    </cfRule>
  </conditionalFormatting>
  <dataValidations count="4">
    <dataValidation allowBlank="true" error="Please select a type from the list, or add it in the Settings sheet." errorStyle="stop" errorTitle="Invalid Type" operator="between" prompt="Select payment type. Add new types in the Settings sheet." promptTitle="Payment Type" showDropDown="false" showErrorMessage="false" showInputMessage="false" sqref="B4:B203" type="list">
      <formula1>Settings!$B$5:$B$34</formula1>
      <formula2>0</formula2>
    </dataValidation>
    <dataValidation allowBlank="true" error="Please select a service from the list, or add it in the Settings sheet." errorStyle="stop" errorTitle="Invalid Service" operator="between" prompt="Select transfer service. Add new services in the Settings sheet." promptTitle="Service Used" showDropDown="false" showErrorMessage="false" showInputMessage="false" sqref="C4:C203" type="list">
      <formula1>Settings!$D$5:$D$34</formula1>
      <formula2>0</formula2>
    </dataValidation>
    <dataValidation allowBlank="true" error="Amount must be 0 or greater." errorStyle="stop" errorTitle="Invalid Amount" operator="greaterThanOrEqual" prompt="Enter a positive dollar amount (or 0)" promptTitle="Amount" showDropDown="false" showErrorMessage="false" showInputMessage="false" sqref="F6:G205" type="decimal">
      <formula1>0</formula1>
      <formula2>0</formula2>
    </dataValidation>
    <dataValidation allowBlank="true" error="Select a recipient or add them in Settings → Recipients / Given To." errorStyle="stop" errorTitle="Unknown Recipient" operator="between" prompt="Pick from list or type a name" promptTitle="Given To" showDropDown="false" showErrorMessage="false" showInputMessage="false" sqref="D6:D205" type="list">
      <formula1>Settings!$F$5:$F$34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3" min="2" style="1" width="14"/>
    <col collapsed="false" customWidth="true" hidden="false" outlineLevel="0" max="4" min="4" style="1" width="16"/>
    <col collapsed="false" customWidth="true" hidden="false" outlineLevel="0" max="5" min="5" style="1" width="24"/>
    <col collapsed="false" customWidth="true" hidden="false" outlineLevel="0" max="6" min="6" style="1" width="32"/>
    <col collapsed="false" customWidth="true" hidden="false" outlineLevel="0" max="7" min="7" style="1" width="16"/>
    <col collapsed="false" customWidth="true" hidden="false" outlineLevel="0" max="8" min="8" style="1" width="12"/>
    <col collapsed="false" customWidth="true" hidden="false" outlineLevel="0" max="9" min="9" style="1" width="16"/>
    <col collapsed="false" customWidth="true" hidden="false" outlineLevel="0" max="11" min="11" style="1" width="22"/>
    <col collapsed="false" customWidth="true" hidden="false" outlineLevel="0" max="12" min="12" style="1" width="5"/>
    <col collapsed="false" customWidth="true" hidden="false" outlineLevel="0" max="13" min="13" style="1" width="10"/>
  </cols>
  <sheetData>
    <row r="1" customFormat="false" ht="37.5" hidden="false" customHeight="true" outlineLevel="0" collapsed="false">
      <c r="A1" s="113" t="s">
        <v>225</v>
      </c>
      <c r="B1" s="113"/>
      <c r="C1" s="113"/>
      <c r="D1" s="113"/>
      <c r="E1" s="113"/>
      <c r="F1" s="113"/>
      <c r="G1" s="113"/>
      <c r="H1" s="113"/>
      <c r="I1" s="113"/>
      <c r="J1" s="4"/>
      <c r="K1" s="4"/>
      <c r="L1" s="4"/>
      <c r="M1" s="4"/>
    </row>
    <row r="2" customFormat="false" ht="18" hidden="false" customHeight="true" outlineLevel="0" collapsed="false">
      <c r="A2" s="114" t="s">
        <v>226</v>
      </c>
      <c r="B2" s="114"/>
      <c r="C2" s="114"/>
      <c r="D2" s="114"/>
      <c r="E2" s="114"/>
      <c r="F2" s="114"/>
      <c r="G2" s="114"/>
      <c r="H2" s="114"/>
      <c r="I2" s="114"/>
      <c r="J2" s="4"/>
      <c r="K2" s="4"/>
      <c r="L2" s="4"/>
      <c r="M2" s="4"/>
    </row>
    <row r="3" customFormat="false" ht="7.5" hidden="false" customHeight="true" outlineLevel="0" collapsed="false">
      <c r="A3" s="4"/>
      <c r="B3" s="4"/>
      <c r="C3" s="4"/>
      <c r="D3" s="4"/>
      <c r="E3" s="4"/>
      <c r="F3" s="4"/>
      <c r="G3" s="4"/>
      <c r="H3" s="4"/>
      <c r="I3" s="4"/>
      <c r="J3" s="4"/>
      <c r="K3" s="115" t="s">
        <v>227</v>
      </c>
      <c r="L3" s="4"/>
      <c r="M3" s="4"/>
    </row>
    <row r="4" customFormat="false" ht="31.5" hidden="false" customHeight="true" outlineLevel="0" collapsed="false">
      <c r="A4" s="116" t="s">
        <v>228</v>
      </c>
      <c r="B4" s="116"/>
      <c r="C4" s="117"/>
      <c r="D4" s="118" t="s">
        <v>229</v>
      </c>
      <c r="E4" s="118"/>
      <c r="F4" s="119" t="str">
        <f aca="false">IF($C$4="","—",IF($C$5="All Years",SUMIF(Ledger!$D$6:$D$205,$C$4,Ledger!$H$6:$H$205),SUMPRODUCT((Ledger!$D$6:$D$205=$C$4)*(YEAR(Ledger!$A$6:$A$205)=VALUE($C$5))*Ledger!$H$6:$H$205)))</f>
        <v>—</v>
      </c>
      <c r="G4" s="119"/>
      <c r="H4" s="120" t="s">
        <v>230</v>
      </c>
      <c r="I4" s="121" t="str">
        <f aca="false">IF($C$4="","—",IF($C$5="All Years",COUNTIF(Ledger!$D$6:$D$205,$C$4),SUMPRODUCT((Ledger!$D$6:$D$205=$C$4)*(YEAR(Ledger!$A$6:$A$205)=VALUE($C$5)))))</f>
        <v>—</v>
      </c>
      <c r="J4" s="4"/>
      <c r="K4" s="122" t="str">
        <f aca="false">IFERROR(INDEX(Ledger!$D$6:$D$205,MATCH(0,COUNTIF($K$3:K3,Ledger!$D$6:$D$205)+IF(Ledger!$D$6:$D$205="",1,0),0)),"")</f>
        <v/>
      </c>
      <c r="L4" s="4"/>
      <c r="M4" s="4"/>
    </row>
    <row r="5" customFormat="false" ht="27.75" hidden="false" customHeight="true" outlineLevel="0" collapsed="false">
      <c r="A5" s="123" t="s">
        <v>231</v>
      </c>
      <c r="B5" s="123"/>
      <c r="C5" s="124" t="s">
        <v>232</v>
      </c>
      <c r="D5" s="125" t="s">
        <v>233</v>
      </c>
      <c r="E5" s="125"/>
      <c r="F5" s="125"/>
      <c r="G5" s="125"/>
      <c r="H5" s="125"/>
      <c r="I5" s="125"/>
      <c r="J5" s="4"/>
      <c r="K5" s="4"/>
      <c r="L5" s="4"/>
      <c r="M5" s="4" t="s">
        <v>232</v>
      </c>
    </row>
    <row r="6" customFormat="false" ht="24" hidden="false" customHeight="true" outlineLevel="0" collapsed="false">
      <c r="A6" s="71"/>
      <c r="B6" s="71"/>
      <c r="C6" s="71"/>
      <c r="D6" s="71"/>
      <c r="E6" s="71"/>
      <c r="F6" s="71"/>
      <c r="G6" s="71"/>
      <c r="H6" s="71"/>
      <c r="I6" s="71"/>
      <c r="J6" s="4"/>
      <c r="K6" s="122" t="str">
        <f aca="false">IFERROR(INDEX(Ledger!$D$6:$D$205,MATCH(0,COUNTIF($K$3:K4,Ledger!$D$6:$D$205)+IF(Ledger!$D$6:$D$205="",1,0),0)),"")</f>
        <v/>
      </c>
      <c r="L6" s="4"/>
      <c r="M6" s="4"/>
    </row>
    <row r="7" customFormat="false" ht="24" hidden="false" customHeight="true" outlineLevel="0" collapsed="false">
      <c r="A7" s="45" t="s">
        <v>234</v>
      </c>
      <c r="B7" s="45"/>
      <c r="C7" s="45"/>
      <c r="D7" s="45"/>
      <c r="E7" s="45"/>
      <c r="F7" s="73"/>
      <c r="G7" s="73"/>
      <c r="H7" s="73"/>
      <c r="I7" s="73"/>
      <c r="J7" s="4"/>
      <c r="K7" s="122" t="str">
        <f aca="false">IFERROR(INDEX(Ledger!$D$6:$D$205,MATCH(0,COUNTIF($K$3:K5,Ledger!$D$6:$D$205)+IF(Ledger!$D$6:$D$205="",1,0),0)),"")</f>
        <v/>
      </c>
      <c r="L7" s="4"/>
      <c r="M7" s="4"/>
    </row>
    <row r="8" customFormat="false" ht="21.75" hidden="false" customHeight="true" outlineLevel="0" collapsed="false">
      <c r="A8" s="126" t="s">
        <v>210</v>
      </c>
      <c r="B8" s="126"/>
      <c r="C8" s="126"/>
      <c r="D8" s="126"/>
      <c r="E8" s="126"/>
      <c r="F8" s="126" t="s">
        <v>235</v>
      </c>
      <c r="G8" s="126"/>
      <c r="H8" s="126"/>
      <c r="I8" s="126"/>
      <c r="J8" s="4"/>
      <c r="K8" s="122" t="str">
        <f aca="false">IFERROR(INDEX(Ledger!$D$6:$D$205,MATCH(0,COUNTIF($K$3:K6,Ledger!$D$6:$D$205)+IF(Ledger!$D$6:$D$205="",1,0),0)),"")</f>
        <v/>
      </c>
      <c r="L8" s="4"/>
      <c r="M8" s="4"/>
    </row>
    <row r="9" customFormat="false" ht="21.75" hidden="false" customHeight="true" outlineLevel="0" collapsed="false">
      <c r="A9" s="127" t="str">
        <f aca="false">IF(Settings!$B$5="","",Settings!$B$5)</f>
        <v>Zakat</v>
      </c>
      <c r="B9" s="127"/>
      <c r="C9" s="127"/>
      <c r="D9" s="127"/>
      <c r="E9" s="127"/>
      <c r="F9" s="128" t="str">
        <f aca="false">IF(Settings!$B$5="","",IF($C$4="","—",SUMPRODUCT((Ledger!$D$6:$D$205=$C$4)*(Ledger!$B$6:$B$205=Settings!$B$5)*Ledger!$H$6:$H$205)))</f>
        <v>—</v>
      </c>
      <c r="G9" s="128"/>
      <c r="H9" s="128"/>
      <c r="I9" s="128"/>
      <c r="J9" s="4"/>
      <c r="K9" s="122" t="str">
        <f aca="false">IFERROR(INDEX(Ledger!$D$6:$D$205,MATCH(0,COUNTIF($K$3:K7,Ledger!$D$6:$D$205)+IF(Ledger!$D$6:$D$205="",1,0),0)),"")</f>
        <v/>
      </c>
      <c r="L9" s="4"/>
      <c r="M9" s="4"/>
    </row>
    <row r="10" customFormat="false" ht="21.75" hidden="false" customHeight="true" outlineLevel="0" collapsed="false">
      <c r="A10" s="129" t="str">
        <f aca="false">IF(Settings!$B$6="","",Settings!$B$6)</f>
        <v>Sadaqah</v>
      </c>
      <c r="B10" s="129"/>
      <c r="C10" s="129"/>
      <c r="D10" s="129"/>
      <c r="E10" s="129"/>
      <c r="F10" s="130" t="str">
        <f aca="false">IF(Settings!$B$6="","",IF($C$4="","—",SUMPRODUCT((Ledger!$D$6:$D$205=$C$4)*(Ledger!$B$6:$B$205=Settings!$B$6)*Ledger!$H$6:$H$205)))</f>
        <v>—</v>
      </c>
      <c r="G10" s="130"/>
      <c r="H10" s="130"/>
      <c r="I10" s="130"/>
      <c r="J10" s="4"/>
      <c r="K10" s="122" t="str">
        <f aca="false">IFERROR(INDEX(Ledger!$D$6:$D$205,MATCH(0,COUNTIF($K$3:K8,Ledger!$D$6:$D$205)+IF(Ledger!$D$6:$D$205="",1,0),0)),"")</f>
        <v/>
      </c>
      <c r="L10" s="4"/>
      <c r="M10" s="4"/>
    </row>
    <row r="11" customFormat="false" ht="21.75" hidden="false" customHeight="true" outlineLevel="0" collapsed="false">
      <c r="A11" s="131" t="str">
        <f aca="false">IF(Settings!$B$7="","",Settings!$B$7)</f>
        <v>Fitrana</v>
      </c>
      <c r="B11" s="131"/>
      <c r="C11" s="131"/>
      <c r="D11" s="131"/>
      <c r="E11" s="131"/>
      <c r="F11" s="132" t="str">
        <f aca="false">IF(Settings!$B$7="","",IF($C$4="","—",SUMPRODUCT((Ledger!$D$6:$D$205=$C$4)*(Ledger!$B$6:$B$205=Settings!$B$7)*Ledger!$H$6:$H$205)))</f>
        <v>—</v>
      </c>
      <c r="G11" s="132"/>
      <c r="H11" s="132"/>
      <c r="I11" s="132"/>
      <c r="J11" s="4"/>
      <c r="K11" s="122" t="str">
        <f aca="false">IFERROR(INDEX(Ledger!$D$6:$D$205,MATCH(0,COUNTIF($K$3:K9,Ledger!$D$6:$D$205)+IF(Ledger!$D$6:$D$205="",1,0),0)),"")</f>
        <v/>
      </c>
      <c r="L11" s="133"/>
      <c r="M11" s="4"/>
    </row>
    <row r="12" customFormat="false" ht="21.75" hidden="false" customHeight="true" outlineLevel="0" collapsed="false">
      <c r="A12" s="134" t="str">
        <f aca="false">IF(Settings!$B$8="","",Settings!$B$8)</f>
        <v>Qurbani</v>
      </c>
      <c r="B12" s="134"/>
      <c r="C12" s="134"/>
      <c r="D12" s="134"/>
      <c r="E12" s="134"/>
      <c r="F12" s="135" t="str">
        <f aca="false">IF(Settings!$B$8="","",IF($C$4="","—",SUMPRODUCT((Ledger!$D$6:$D$205=$C$4)*(Ledger!$B$6:$B$205=Settings!$B$8)*Ledger!$H$6:$H$205)))</f>
        <v>—</v>
      </c>
      <c r="G12" s="135"/>
      <c r="H12" s="135"/>
      <c r="I12" s="135"/>
      <c r="J12" s="4"/>
      <c r="K12" s="122" t="str">
        <f aca="false">IFERROR(INDEX(Ledger!$D$6:$D$205,MATCH(0,COUNTIF($K$3:K10,Ledger!$D$6:$D$205)+IF(Ledger!$D$6:$D$205="",1,0),0)),"")</f>
        <v/>
      </c>
      <c r="L12" s="133"/>
      <c r="M12" s="4"/>
    </row>
    <row r="13" customFormat="false" ht="21.75" hidden="false" customHeight="true" outlineLevel="0" collapsed="false">
      <c r="A13" s="136" t="str">
        <f aca="false">IF(Settings!$B$9="","",Settings!$B$9)</f>
        <v>Lillah</v>
      </c>
      <c r="B13" s="136"/>
      <c r="C13" s="136"/>
      <c r="D13" s="136"/>
      <c r="E13" s="136"/>
      <c r="F13" s="137" t="str">
        <f aca="false">IF(Settings!$B$9="","",IF($C$4="","—",SUMPRODUCT((Ledger!$D$6:$D$205=$C$4)*(Ledger!$B$6:$B$205=Settings!$B$9)*Ledger!$H$6:$H$205)))</f>
        <v>—</v>
      </c>
      <c r="G13" s="137"/>
      <c r="H13" s="137"/>
      <c r="I13" s="137"/>
      <c r="J13" s="4"/>
      <c r="K13" s="122" t="str">
        <f aca="false">IFERROR(INDEX(Ledger!$D$6:$D$205,MATCH(0,COUNTIF($K$3:K11,Ledger!$D$6:$D$205)+IF(Ledger!$D$6:$D$205="",1,0),0)),"")</f>
        <v/>
      </c>
      <c r="L13" s="133"/>
      <c r="M13" s="4"/>
    </row>
    <row r="14" customFormat="false" ht="21.75" hidden="false" customHeight="true" outlineLevel="0" collapsed="false">
      <c r="A14" s="138" t="str">
        <f aca="false">IF(Settings!$B$10="","",Settings!$B$10)</f>
        <v>Kaffarah</v>
      </c>
      <c r="B14" s="138"/>
      <c r="C14" s="138"/>
      <c r="D14" s="138"/>
      <c r="E14" s="138"/>
      <c r="F14" s="139" t="str">
        <f aca="false">IF(Settings!$B$10="","",IF($C$4="","—",SUMPRODUCT((Ledger!$D$6:$D$205=$C$4)*(Ledger!$B$6:$B$205=Settings!$B$10)*Ledger!$H$6:$H$205)))</f>
        <v>—</v>
      </c>
      <c r="G14" s="139"/>
      <c r="H14" s="139"/>
      <c r="I14" s="139"/>
      <c r="J14" s="4"/>
      <c r="K14" s="122" t="str">
        <f aca="false">IFERROR(INDEX(Ledger!$D$6:$D$205,MATCH(0,COUNTIF($K$3:K12,Ledger!$D$6:$D$205)+IF(Ledger!$D$6:$D$205="",1,0),0)),"")</f>
        <v/>
      </c>
      <c r="L14" s="133"/>
      <c r="M14" s="4"/>
    </row>
    <row r="15" customFormat="false" ht="21.75" hidden="false" customHeight="true" outlineLevel="0" collapsed="false">
      <c r="A15" s="140" t="str">
        <f aca="false">IF(Settings!$B$11="","",Settings!$B$11)</f>
        <v>Sadaqah Jariyah</v>
      </c>
      <c r="B15" s="140"/>
      <c r="C15" s="140"/>
      <c r="D15" s="140"/>
      <c r="E15" s="140"/>
      <c r="F15" s="141" t="str">
        <f aca="false">IF(Settings!$B$11="","",IF($C$4="","—",SUMPRODUCT((Ledger!$D$6:$D$205=$C$4)*(Ledger!$B$6:$B$205=Settings!$B$11)*Ledger!$H$6:$H$205)))</f>
        <v>—</v>
      </c>
      <c r="G15" s="141"/>
      <c r="H15" s="141"/>
      <c r="I15" s="141"/>
      <c r="J15" s="4"/>
      <c r="K15" s="122" t="str">
        <f aca="false">IFERROR(INDEX(Ledger!$D$6:$D$205,MATCH(0,COUNTIF($K$3:K13,Ledger!$D$6:$D$205)+IF(Ledger!$D$6:$D$205="",1,0),0)),"")</f>
        <v/>
      </c>
      <c r="L15" s="133"/>
      <c r="M15" s="4"/>
    </row>
    <row r="16" customFormat="false" ht="21.75" hidden="false" customHeight="true" outlineLevel="0" collapsed="false">
      <c r="A16" s="127" t="str">
        <f aca="false">IF(Settings!$B$12="","",Settings!$B$12)</f>
        <v/>
      </c>
      <c r="B16" s="127"/>
      <c r="C16" s="127"/>
      <c r="D16" s="127"/>
      <c r="E16" s="127"/>
      <c r="F16" s="128" t="str">
        <f aca="false">IF(Settings!$B$12="","",IF($C$4="","—",SUMPRODUCT((Ledger!$D$6:$D$205=$C$4)*(Ledger!$B$6:$B$205=Settings!$B$12)*Ledger!$H$6:$H$205)))</f>
        <v/>
      </c>
      <c r="G16" s="128"/>
      <c r="H16" s="128"/>
      <c r="I16" s="128"/>
      <c r="J16" s="4"/>
      <c r="K16" s="122" t="str">
        <f aca="false">IFERROR(INDEX(Ledger!$D$6:$D$205,MATCH(0,COUNTIF($K$3:K14,Ledger!$D$6:$D$205)+IF(Ledger!$D$6:$D$205="",1,0),0)),"")</f>
        <v/>
      </c>
      <c r="L16" s="133"/>
      <c r="M16" s="4"/>
    </row>
    <row r="17" customFormat="false" ht="21.75" hidden="false" customHeight="true" outlineLevel="0" collapsed="false">
      <c r="A17" s="129" t="str">
        <f aca="false">IF(Settings!$B$13="","",Settings!$B$13)</f>
        <v/>
      </c>
      <c r="B17" s="129"/>
      <c r="C17" s="129"/>
      <c r="D17" s="129"/>
      <c r="E17" s="129"/>
      <c r="F17" s="130" t="str">
        <f aca="false">IF(Settings!$B$13="","",IF($C$4="","—",SUMPRODUCT((Ledger!$D$6:$D$205=$C$4)*(Ledger!$B$6:$B$205=Settings!$B$13)*Ledger!$H$6:$H$205)))</f>
        <v/>
      </c>
      <c r="G17" s="130"/>
      <c r="H17" s="130"/>
      <c r="I17" s="130"/>
      <c r="J17" s="4"/>
      <c r="K17" s="122" t="str">
        <f aca="false">IFERROR(INDEX(Ledger!$D$6:$D$205,MATCH(0,COUNTIF($K$3:K15,Ledger!$D$6:$D$205)+IF(Ledger!$D$6:$D$205="",1,0),0)),"")</f>
        <v/>
      </c>
      <c r="L17" s="133"/>
      <c r="M17" s="4"/>
    </row>
    <row r="18" customFormat="false" ht="21.75" hidden="false" customHeight="true" outlineLevel="0" collapsed="false">
      <c r="A18" s="131" t="str">
        <f aca="false">IF(Settings!$B$14="","",Settings!$B$14)</f>
        <v/>
      </c>
      <c r="B18" s="131"/>
      <c r="C18" s="131"/>
      <c r="D18" s="131"/>
      <c r="E18" s="131"/>
      <c r="F18" s="132" t="str">
        <f aca="false">IF(Settings!$B$14="","",IF($C$4="","—",SUMPRODUCT((Ledger!$D$6:$D$205=$C$4)*(Ledger!$B$6:$B$205=Settings!$B$14)*Ledger!$H$6:$H$205)))</f>
        <v/>
      </c>
      <c r="G18" s="132"/>
      <c r="H18" s="132"/>
      <c r="I18" s="132"/>
      <c r="J18" s="4"/>
      <c r="K18" s="122" t="str">
        <f aca="false">IFERROR(INDEX(Ledger!$D$6:$D$205,MATCH(0,COUNTIF($K$3:K16,Ledger!$D$6:$D$205)+IF(Ledger!$D$6:$D$205="",1,0),0)),"")</f>
        <v/>
      </c>
      <c r="L18" s="133"/>
      <c r="M18" s="4"/>
    </row>
    <row r="19" customFormat="false" ht="21.75" hidden="false" customHeight="true" outlineLevel="0" collapsed="false">
      <c r="A19" s="134" t="str">
        <f aca="false">IF(Settings!$B$15="","",Settings!$B$15)</f>
        <v/>
      </c>
      <c r="B19" s="134"/>
      <c r="C19" s="134"/>
      <c r="D19" s="134"/>
      <c r="E19" s="134"/>
      <c r="F19" s="135" t="str">
        <f aca="false">IF(Settings!$B$15="","",IF($C$4="","—",SUMPRODUCT((Ledger!$D$6:$D$205=$C$4)*(Ledger!$B$6:$B$205=Settings!$B$15)*Ledger!$H$6:$H$205)))</f>
        <v/>
      </c>
      <c r="G19" s="135"/>
      <c r="H19" s="135"/>
      <c r="I19" s="135"/>
      <c r="J19" s="4"/>
      <c r="K19" s="122" t="str">
        <f aca="false">IFERROR(INDEX(Ledger!$D$6:$D$205,MATCH(0,COUNTIF($K$3:K17,Ledger!$D$6:$D$205)+IF(Ledger!$D$6:$D$205="",1,0),0)),"")</f>
        <v/>
      </c>
      <c r="L19" s="133"/>
      <c r="M19" s="4"/>
    </row>
    <row r="20" customFormat="false" ht="21.75" hidden="false" customHeight="true" outlineLevel="0" collapsed="false">
      <c r="A20" s="136" t="str">
        <f aca="false">IF(Settings!$B$16="","",Settings!$B$16)</f>
        <v/>
      </c>
      <c r="B20" s="136"/>
      <c r="C20" s="136"/>
      <c r="D20" s="136"/>
      <c r="E20" s="136"/>
      <c r="F20" s="137" t="str">
        <f aca="false">IF(Settings!$B$16="","",IF($C$4="","—",SUMPRODUCT((Ledger!$D$6:$D$205=$C$4)*(Ledger!$B$6:$B$205=Settings!$B$16)*Ledger!$H$6:$H$205)))</f>
        <v/>
      </c>
      <c r="G20" s="137"/>
      <c r="H20" s="137"/>
      <c r="I20" s="137"/>
      <c r="J20" s="4"/>
      <c r="K20" s="122" t="str">
        <f aca="false">IFERROR(INDEX(Ledger!$D$6:$D$205,MATCH(0,COUNTIF($K$3:K18,Ledger!$D$6:$D$205)+IF(Ledger!$D$6:$D$205="",1,0),0)),"")</f>
        <v/>
      </c>
      <c r="L20" s="133"/>
      <c r="M20" s="4"/>
    </row>
    <row r="21" customFormat="false" ht="21.75" hidden="false" customHeight="true" outlineLevel="0" collapsed="false">
      <c r="A21" s="138" t="str">
        <f aca="false">IF(Settings!$B$17="","",Settings!$B$17)</f>
        <v/>
      </c>
      <c r="B21" s="138"/>
      <c r="C21" s="138"/>
      <c r="D21" s="138"/>
      <c r="E21" s="138"/>
      <c r="F21" s="139" t="str">
        <f aca="false">IF(Settings!$B$17="","",IF($C$4="","—",SUMPRODUCT((Ledger!$D$6:$D$205=$C$4)*(Ledger!$B$6:$B$205=Settings!$B$17)*Ledger!$H$6:$H$205)))</f>
        <v/>
      </c>
      <c r="G21" s="139"/>
      <c r="H21" s="139"/>
      <c r="I21" s="139"/>
      <c r="J21" s="4"/>
      <c r="K21" s="122" t="str">
        <f aca="false">IFERROR(INDEX(Ledger!$D$6:$D$205,MATCH(0,COUNTIF($K$3:K19,Ledger!$D$6:$D$205)+IF(Ledger!$D$6:$D$205="",1,0),0)),"")</f>
        <v/>
      </c>
      <c r="L21" s="133"/>
      <c r="M21" s="4"/>
    </row>
    <row r="22" customFormat="false" ht="21.75" hidden="false" customHeight="true" outlineLevel="0" collapsed="false">
      <c r="A22" s="140" t="str">
        <f aca="false">IF(Settings!$B$18="","",Settings!$B$18)</f>
        <v/>
      </c>
      <c r="B22" s="140"/>
      <c r="C22" s="140"/>
      <c r="D22" s="140"/>
      <c r="E22" s="140"/>
      <c r="F22" s="141" t="str">
        <f aca="false">IF(Settings!$B$18="","",IF($C$4="","—",SUMPRODUCT((Ledger!$D$6:$D$205=$C$4)*(Ledger!$B$6:$B$205=Settings!$B$18)*Ledger!$H$6:$H$205)))</f>
        <v/>
      </c>
      <c r="G22" s="141"/>
      <c r="H22" s="141"/>
      <c r="I22" s="141"/>
      <c r="J22" s="4"/>
      <c r="K22" s="122" t="str">
        <f aca="false">IFERROR(INDEX(Ledger!$D$6:$D$205,MATCH(0,COUNTIF($K$3:K20,Ledger!$D$6:$D$205)+IF(Ledger!$D$6:$D$205="",1,0),0)),"")</f>
        <v/>
      </c>
      <c r="L22" s="133"/>
      <c r="M22" s="4"/>
    </row>
    <row r="23" customFormat="false" ht="21.75" hidden="false" customHeight="true" outlineLevel="0" collapsed="false">
      <c r="A23" s="127" t="str">
        <f aca="false">IF(Settings!$B$19="","",Settings!$B$19)</f>
        <v/>
      </c>
      <c r="B23" s="127"/>
      <c r="C23" s="127"/>
      <c r="D23" s="127"/>
      <c r="E23" s="127"/>
      <c r="F23" s="128" t="str">
        <f aca="false">IF(Settings!$B$19="","",IF($C$4="","—",SUMPRODUCT((Ledger!$D$6:$D$205=$C$4)*(Ledger!$B$6:$B$205=Settings!$B$19)*Ledger!$H$6:$H$205)))</f>
        <v/>
      </c>
      <c r="G23" s="128"/>
      <c r="H23" s="128"/>
      <c r="I23" s="128"/>
      <c r="J23" s="4"/>
      <c r="K23" s="122" t="str">
        <f aca="false">IFERROR(INDEX(Ledger!$D$6:$D$205,MATCH(0,COUNTIF($K$3:K21,Ledger!$D$6:$D$205)+IF(Ledger!$D$6:$D$205="",1,0),0)),"")</f>
        <v/>
      </c>
      <c r="L23" s="133"/>
      <c r="M23" s="4"/>
    </row>
    <row r="24" customFormat="false" ht="21.75" hidden="false" customHeight="true" outlineLevel="0" collapsed="false">
      <c r="A24" s="129" t="str">
        <f aca="false">IF(Settings!$B$20="","",Settings!$B$20)</f>
        <v/>
      </c>
      <c r="B24" s="129"/>
      <c r="C24" s="129"/>
      <c r="D24" s="129"/>
      <c r="E24" s="129"/>
      <c r="F24" s="130" t="str">
        <f aca="false">IF(Settings!$B$20="","",IF($C$4="","—",SUMPRODUCT((Ledger!$D$6:$D$205=$C$4)*(Ledger!$B$6:$B$205=Settings!$B$20)*Ledger!$H$6:$H$205)))</f>
        <v/>
      </c>
      <c r="G24" s="130"/>
      <c r="H24" s="130"/>
      <c r="I24" s="130"/>
      <c r="J24" s="4"/>
      <c r="K24" s="122" t="str">
        <f aca="false">IFERROR(INDEX(Ledger!$D$6:$D$205,MATCH(0,COUNTIF($K$3:K22,Ledger!$D$6:$D$205)+IF(Ledger!$D$6:$D$205="",1,0),0)),"")</f>
        <v/>
      </c>
      <c r="L24" s="133"/>
      <c r="M24" s="4"/>
    </row>
    <row r="25" customFormat="false" ht="21.75" hidden="false" customHeight="true" outlineLevel="0" collapsed="false">
      <c r="A25" s="131" t="str">
        <f aca="false">IF(Settings!$B$21="","",Settings!$B$21)</f>
        <v/>
      </c>
      <c r="B25" s="131"/>
      <c r="C25" s="131"/>
      <c r="D25" s="131"/>
      <c r="E25" s="131"/>
      <c r="F25" s="132" t="str">
        <f aca="false">IF(Settings!$B$21="","",IF($C$4="","—",SUMPRODUCT((Ledger!$D$6:$D$205=$C$4)*(Ledger!$B$6:$B$205=Settings!$B$21)*Ledger!$H$6:$H$205)))</f>
        <v/>
      </c>
      <c r="G25" s="132"/>
      <c r="H25" s="132"/>
      <c r="I25" s="132"/>
      <c r="J25" s="4"/>
      <c r="K25" s="122" t="str">
        <f aca="false">IFERROR(INDEX(Ledger!$D$6:$D$205,MATCH(0,COUNTIF($K$3:K23,Ledger!$D$6:$D$205)+IF(Ledger!$D$6:$D$205="",1,0),0)),"")</f>
        <v/>
      </c>
      <c r="L25" s="133"/>
      <c r="M25" s="4"/>
    </row>
    <row r="26" customFormat="false" ht="21.75" hidden="false" customHeight="true" outlineLevel="0" collapsed="false">
      <c r="A26" s="134" t="str">
        <f aca="false">IF(Settings!$B$22="","",Settings!$B$22)</f>
        <v/>
      </c>
      <c r="B26" s="134"/>
      <c r="C26" s="134"/>
      <c r="D26" s="134"/>
      <c r="E26" s="134"/>
      <c r="F26" s="135" t="str">
        <f aca="false">IF(Settings!$B$22="","",IF($C$4="","—",SUMPRODUCT((Ledger!$D$6:$D$205=$C$4)*(Ledger!$B$6:$B$205=Settings!$B$22)*Ledger!$H$6:$H$205)))</f>
        <v/>
      </c>
      <c r="G26" s="135"/>
      <c r="H26" s="135"/>
      <c r="I26" s="135"/>
      <c r="J26" s="4"/>
      <c r="K26" s="122" t="str">
        <f aca="false">IFERROR(INDEX(Ledger!$D$6:$D$205,MATCH(0,COUNTIF($K$3:K24,Ledger!$D$6:$D$205)+IF(Ledger!$D$6:$D$205="",1,0),0)),"")</f>
        <v/>
      </c>
      <c r="L26" s="133"/>
      <c r="M26" s="4"/>
    </row>
    <row r="27" customFormat="false" ht="21.75" hidden="false" customHeight="true" outlineLevel="0" collapsed="false">
      <c r="A27" s="136" t="str">
        <f aca="false">IF(Settings!$B$23="","",Settings!$B$23)</f>
        <v/>
      </c>
      <c r="B27" s="136"/>
      <c r="C27" s="136"/>
      <c r="D27" s="136"/>
      <c r="E27" s="136"/>
      <c r="F27" s="137" t="str">
        <f aca="false">IF(Settings!$B$23="","",IF($C$4="","—",SUMPRODUCT((Ledger!$D$6:$D$205=$C$4)*(Ledger!$B$6:$B$205=Settings!$B$23)*Ledger!$H$6:$H$205)))</f>
        <v/>
      </c>
      <c r="G27" s="137"/>
      <c r="H27" s="137"/>
      <c r="I27" s="137"/>
      <c r="J27" s="4"/>
      <c r="K27" s="122" t="str">
        <f aca="false">IFERROR(INDEX(Ledger!$D$6:$D$205,MATCH(0,COUNTIF($K$3:K25,Ledger!$D$6:$D$205)+IF(Ledger!$D$6:$D$205="",1,0),0)),"")</f>
        <v/>
      </c>
      <c r="L27" s="133"/>
      <c r="M27" s="4"/>
    </row>
    <row r="28" customFormat="false" ht="21.75" hidden="false" customHeight="true" outlineLevel="0" collapsed="false">
      <c r="A28" s="138" t="str">
        <f aca="false">IF(Settings!$B$24="","",Settings!$B$24)</f>
        <v/>
      </c>
      <c r="B28" s="138"/>
      <c r="C28" s="138"/>
      <c r="D28" s="138"/>
      <c r="E28" s="138"/>
      <c r="F28" s="139" t="str">
        <f aca="false">IF(Settings!$B$24="","",IF($C$4="","—",SUMPRODUCT((Ledger!$D$6:$D$205=$C$4)*(Ledger!$B$6:$B$205=Settings!$B$24)*Ledger!$H$6:$H$205)))</f>
        <v/>
      </c>
      <c r="G28" s="139"/>
      <c r="H28" s="139"/>
      <c r="I28" s="139"/>
      <c r="J28" s="4"/>
      <c r="K28" s="122" t="str">
        <f aca="false">IFERROR(INDEX(Ledger!$D$6:$D$205,MATCH(0,COUNTIF($K$3:K26,Ledger!$D$6:$D$205)+IF(Ledger!$D$6:$D$205="",1,0),0)),"")</f>
        <v/>
      </c>
      <c r="L28" s="133"/>
      <c r="M28" s="4"/>
    </row>
    <row r="29" customFormat="false" ht="21.75" hidden="false" customHeight="true" outlineLevel="0" collapsed="false">
      <c r="A29" s="140" t="str">
        <f aca="false">IF(Settings!$B$25="","",Settings!$B$25)</f>
        <v/>
      </c>
      <c r="B29" s="140"/>
      <c r="C29" s="140"/>
      <c r="D29" s="140"/>
      <c r="E29" s="140"/>
      <c r="F29" s="141" t="str">
        <f aca="false">IF(Settings!$B$25="","",IF($C$4="","—",SUMPRODUCT((Ledger!$D$6:$D$205=$C$4)*(Ledger!$B$6:$B$205=Settings!$B$25)*Ledger!$H$6:$H$205)))</f>
        <v/>
      </c>
      <c r="G29" s="141"/>
      <c r="H29" s="141"/>
      <c r="I29" s="141"/>
      <c r="J29" s="4"/>
      <c r="K29" s="122" t="str">
        <f aca="false">IFERROR(INDEX(Ledger!$D$6:$D$205,MATCH(0,COUNTIF($K$3:K27,Ledger!$D$6:$D$205)+IF(Ledger!$D$6:$D$205="",1,0),0)),"")</f>
        <v/>
      </c>
      <c r="L29" s="133"/>
      <c r="M29" s="4"/>
    </row>
    <row r="30" customFormat="false" ht="21.75" hidden="false" customHeight="true" outlineLevel="0" collapsed="false">
      <c r="A30" s="127" t="str">
        <f aca="false">IF(Settings!$B$26="","",Settings!$B$26)</f>
        <v/>
      </c>
      <c r="B30" s="127"/>
      <c r="C30" s="127"/>
      <c r="D30" s="127"/>
      <c r="E30" s="127"/>
      <c r="F30" s="128" t="str">
        <f aca="false">IF(Settings!$B$26="","",IF($C$4="","—",SUMPRODUCT((Ledger!$D$6:$D$205=$C$4)*(Ledger!$B$6:$B$205=Settings!$B$26)*Ledger!$H$6:$H$205)))</f>
        <v/>
      </c>
      <c r="G30" s="128"/>
      <c r="H30" s="128"/>
      <c r="I30" s="128"/>
      <c r="J30" s="4"/>
      <c r="K30" s="122" t="str">
        <f aca="false">IFERROR(INDEX(Ledger!$D$6:$D$205,MATCH(0,COUNTIF($K$3:K28,Ledger!$D$6:$D$205)+IF(Ledger!$D$6:$D$205="",1,0),0)),"")</f>
        <v/>
      </c>
      <c r="L30" s="133"/>
      <c r="M30" s="4"/>
    </row>
    <row r="31" customFormat="false" ht="21.75" hidden="false" customHeight="true" outlineLevel="0" collapsed="false">
      <c r="A31" s="129" t="str">
        <f aca="false">IF(Settings!$B$27="","",Settings!$B$27)</f>
        <v/>
      </c>
      <c r="B31" s="129"/>
      <c r="C31" s="129"/>
      <c r="D31" s="129"/>
      <c r="E31" s="129"/>
      <c r="F31" s="130" t="str">
        <f aca="false">IF(Settings!$B$27="","",IF($C$4="","—",SUMPRODUCT((Ledger!$D$6:$D$205=$C$4)*(Ledger!$B$6:$B$205=Settings!$B$27)*Ledger!$H$6:$H$205)))</f>
        <v/>
      </c>
      <c r="G31" s="130"/>
      <c r="H31" s="130"/>
      <c r="I31" s="130"/>
      <c r="J31" s="4"/>
      <c r="K31" s="122" t="str">
        <f aca="false">IFERROR(INDEX(Ledger!$D$6:$D$205,MATCH(0,COUNTIF($K$3:K29,Ledger!$D$6:$D$205)+IF(Ledger!$D$6:$D$205="",1,0),0)),"")</f>
        <v/>
      </c>
      <c r="L31" s="133"/>
      <c r="M31" s="4"/>
    </row>
    <row r="32" customFormat="false" ht="21.75" hidden="false" customHeight="true" outlineLevel="0" collapsed="false">
      <c r="A32" s="131" t="str">
        <f aca="false">IF(Settings!$B$28="","",Settings!$B$28)</f>
        <v/>
      </c>
      <c r="B32" s="131"/>
      <c r="C32" s="131"/>
      <c r="D32" s="131"/>
      <c r="E32" s="131"/>
      <c r="F32" s="132" t="str">
        <f aca="false">IF(Settings!$B$28="","",IF($C$4="","—",SUMPRODUCT((Ledger!$D$6:$D$205=$C$4)*(Ledger!$B$6:$B$205=Settings!$B$28)*Ledger!$H$6:$H$205)))</f>
        <v/>
      </c>
      <c r="G32" s="132"/>
      <c r="H32" s="132"/>
      <c r="I32" s="132"/>
      <c r="J32" s="4"/>
      <c r="K32" s="122" t="str">
        <f aca="false">IFERROR(INDEX(Ledger!$D$6:$D$205,MATCH(0,COUNTIF($K$3:K30,Ledger!$D$6:$D$205)+IF(Ledger!$D$6:$D$205="",1,0),0)),"")</f>
        <v/>
      </c>
      <c r="L32" s="133"/>
      <c r="M32" s="4"/>
    </row>
    <row r="33" customFormat="false" ht="21.75" hidden="false" customHeight="true" outlineLevel="0" collapsed="false">
      <c r="A33" s="134" t="str">
        <f aca="false">IF(Settings!$B$29="","",Settings!$B$29)</f>
        <v/>
      </c>
      <c r="B33" s="134"/>
      <c r="C33" s="134"/>
      <c r="D33" s="134"/>
      <c r="E33" s="134"/>
      <c r="F33" s="135" t="str">
        <f aca="false">IF(Settings!$B$29="","",IF($C$4="","—",SUMPRODUCT((Ledger!$D$6:$D$205=$C$4)*(Ledger!$B$6:$B$205=Settings!$B$29)*Ledger!$H$6:$H$205)))</f>
        <v/>
      </c>
      <c r="G33" s="135"/>
      <c r="H33" s="135"/>
      <c r="I33" s="135"/>
      <c r="J33" s="4"/>
      <c r="K33" s="122" t="str">
        <f aca="false">IFERROR(INDEX(Ledger!$D$6:$D$205,MATCH(0,COUNTIF($K$3:K31,Ledger!$D$6:$D$205)+IF(Ledger!$D$6:$D$205="",1,0),0)),"")</f>
        <v/>
      </c>
      <c r="L33" s="133"/>
      <c r="M33" s="4"/>
    </row>
    <row r="34" customFormat="false" ht="21.75" hidden="false" customHeight="true" outlineLevel="0" collapsed="false">
      <c r="A34" s="136" t="str">
        <f aca="false">IF(Settings!$B$30="","",Settings!$B$30)</f>
        <v/>
      </c>
      <c r="B34" s="136"/>
      <c r="C34" s="136"/>
      <c r="D34" s="136"/>
      <c r="E34" s="136"/>
      <c r="F34" s="137" t="str">
        <f aca="false">IF(Settings!$B$30="","",IF($C$4="","—",SUMPRODUCT((Ledger!$D$6:$D$205=$C$4)*(Ledger!$B$6:$B$205=Settings!$B$30)*Ledger!$H$6:$H$205)))</f>
        <v/>
      </c>
      <c r="G34" s="137"/>
      <c r="H34" s="137"/>
      <c r="I34" s="137"/>
      <c r="J34" s="4"/>
      <c r="K34" s="122" t="str">
        <f aca="false">IFERROR(INDEX(Ledger!$D$6:$D$205,MATCH(0,COUNTIF($K$3:K32,Ledger!$D$6:$D$205)+IF(Ledger!$D$6:$D$205="",1,0),0)),"")</f>
        <v/>
      </c>
      <c r="L34" s="133"/>
      <c r="M34" s="4"/>
    </row>
    <row r="35" customFormat="false" ht="21.75" hidden="false" customHeight="true" outlineLevel="0" collapsed="false">
      <c r="A35" s="138" t="str">
        <f aca="false">IF(Settings!$B$31="","",Settings!$B$31)</f>
        <v/>
      </c>
      <c r="B35" s="138"/>
      <c r="C35" s="138"/>
      <c r="D35" s="138"/>
      <c r="E35" s="138"/>
      <c r="F35" s="139" t="str">
        <f aca="false">IF(Settings!$B$31="","",IF($C$4="","—",SUMPRODUCT((Ledger!$D$6:$D$205=$C$4)*(Ledger!$B$6:$B$205=Settings!$B$31)*Ledger!$H$6:$H$205)))</f>
        <v/>
      </c>
      <c r="G35" s="139"/>
      <c r="H35" s="139"/>
      <c r="I35" s="139"/>
      <c r="J35" s="4"/>
      <c r="K35" s="122" t="str">
        <f aca="false">IFERROR(INDEX(Ledger!$D$6:$D$205,MATCH(0,COUNTIF($K$3:K33,Ledger!$D$6:$D$205)+IF(Ledger!$D$6:$D$205="",1,0),0)),"")</f>
        <v/>
      </c>
      <c r="L35" s="133"/>
      <c r="M35" s="4"/>
    </row>
    <row r="36" customFormat="false" ht="21.75" hidden="false" customHeight="true" outlineLevel="0" collapsed="false">
      <c r="A36" s="140" t="str">
        <f aca="false">IF(Settings!$B$32="","",Settings!$B$32)</f>
        <v/>
      </c>
      <c r="B36" s="140"/>
      <c r="C36" s="140"/>
      <c r="D36" s="140"/>
      <c r="E36" s="140"/>
      <c r="F36" s="141" t="str">
        <f aca="false">IF(Settings!$B$32="","",IF($C$4="","—",SUMPRODUCT((Ledger!$D$6:$D$205=$C$4)*(Ledger!$B$6:$B$205=Settings!$B$32)*Ledger!$H$6:$H$205)))</f>
        <v/>
      </c>
      <c r="G36" s="141"/>
      <c r="H36" s="141"/>
      <c r="I36" s="141"/>
      <c r="J36" s="4"/>
      <c r="K36" s="122" t="str">
        <f aca="false">IFERROR(INDEX(Ledger!$D$6:$D$205,MATCH(0,COUNTIF($K$3:K34,Ledger!$D$6:$D$205)+IF(Ledger!$D$6:$D$205="",1,0),0)),"")</f>
        <v/>
      </c>
      <c r="L36" s="133"/>
      <c r="M36" s="4"/>
    </row>
    <row r="37" customFormat="false" ht="21.75" hidden="false" customHeight="true" outlineLevel="0" collapsed="false">
      <c r="A37" s="127" t="str">
        <f aca="false">IF(Settings!$B$33="","",Settings!$B$33)</f>
        <v/>
      </c>
      <c r="B37" s="127"/>
      <c r="C37" s="127"/>
      <c r="D37" s="127"/>
      <c r="E37" s="127"/>
      <c r="F37" s="128" t="str">
        <f aca="false">IF(Settings!$B$33="","",IF($C$4="","—",SUMPRODUCT((Ledger!$D$6:$D$205=$C$4)*(Ledger!$B$6:$B$205=Settings!$B$33)*Ledger!$H$6:$H$205)))</f>
        <v/>
      </c>
      <c r="G37" s="128"/>
      <c r="H37" s="128"/>
      <c r="I37" s="128"/>
      <c r="J37" s="4"/>
      <c r="K37" s="122" t="str">
        <f aca="false">IFERROR(INDEX(Ledger!$D$6:$D$205,MATCH(0,COUNTIF($K$3:K35,Ledger!$D$6:$D$205)+IF(Ledger!$D$6:$D$205="",1,0),0)),"")</f>
        <v/>
      </c>
      <c r="L37" s="133"/>
      <c r="M37" s="4"/>
    </row>
    <row r="38" customFormat="false" ht="15" hidden="false" customHeight="true" outlineLevel="0" collapsed="false">
      <c r="A38" s="129" t="str">
        <f aca="false">IF(Settings!$B$34="","",Settings!$B$34)</f>
        <v/>
      </c>
      <c r="B38" s="73"/>
      <c r="C38" s="73"/>
      <c r="D38" s="73"/>
      <c r="E38" s="73"/>
      <c r="F38" s="130" t="str">
        <f aca="false">IF(Settings!$B$34="","",IF($C$4="","—",SUMPRODUCT((Ledger!$D$6:$D$205=$C$4)*(Ledger!$B$6:$B$205=Settings!$B$34)*Ledger!$H$6:$H$205)))</f>
        <v/>
      </c>
      <c r="G38" s="73"/>
      <c r="H38" s="73"/>
      <c r="I38" s="73"/>
      <c r="J38" s="4"/>
      <c r="K38" s="122" t="str">
        <f aca="false">IFERROR(INDEX(Ledger!$D$6:$D$205,MATCH(0,COUNTIF($K$3:K36,Ledger!$D$6:$D$205)+IF(Ledger!$D$6:$D$205="",1,0),0)),"")</f>
        <v/>
      </c>
      <c r="L38" s="133"/>
      <c r="M38" s="4"/>
    </row>
    <row r="39" customFormat="false" ht="9.75" hidden="false" customHeight="true" outlineLevel="0" collapsed="false">
      <c r="A39" s="4"/>
      <c r="B39" s="4"/>
      <c r="C39" s="4"/>
      <c r="D39" s="4"/>
      <c r="E39" s="4"/>
      <c r="F39" s="4"/>
      <c r="G39" s="4"/>
      <c r="H39" s="4"/>
      <c r="I39" s="4"/>
      <c r="J39" s="4"/>
      <c r="K39" s="122" t="str">
        <f aca="false">IFERROR(INDEX(Ledger!$D$6:$D$205,MATCH(0,COUNTIF($K$3:K37,Ledger!$D$6:$D$205)+IF(Ledger!$D$6:$D$205="",1,0),0)),"")</f>
        <v/>
      </c>
      <c r="L39" s="133"/>
      <c r="M39" s="4"/>
    </row>
    <row r="40" customFormat="false" ht="25.5" hidden="false" customHeight="true" outlineLevel="0" collapsed="false">
      <c r="A40" s="4"/>
      <c r="B40" s="4"/>
      <c r="C40" s="4"/>
      <c r="D40" s="4"/>
      <c r="E40" s="4"/>
      <c r="F40" s="4"/>
      <c r="G40" s="4"/>
      <c r="H40" s="4"/>
      <c r="I40" s="4"/>
      <c r="J40" s="4"/>
      <c r="K40" s="122" t="str">
        <f aca="false">IFERROR(INDEX(Ledger!$D$6:$D$205,MATCH(0,COUNTIF($K$3:K38,Ledger!$D$6:$D$205)+IF(Ledger!$D$6:$D$205="",1,0),0)),"")</f>
        <v/>
      </c>
      <c r="L40" s="133"/>
      <c r="M40" s="4"/>
    </row>
    <row r="41" customFormat="false" ht="19.5" hidden="false" customHeight="true" outlineLevel="0" collapsed="false">
      <c r="A41" s="32" t="s">
        <v>236</v>
      </c>
      <c r="B41" s="32" t="s">
        <v>181</v>
      </c>
      <c r="C41" s="32" t="s">
        <v>210</v>
      </c>
      <c r="D41" s="32" t="s">
        <v>211</v>
      </c>
      <c r="E41" s="32" t="s">
        <v>212</v>
      </c>
      <c r="F41" s="32" t="s">
        <v>213</v>
      </c>
      <c r="G41" s="32" t="s">
        <v>214</v>
      </c>
      <c r="H41" s="32" t="s">
        <v>215</v>
      </c>
      <c r="I41" s="32" t="s">
        <v>216</v>
      </c>
      <c r="J41" s="4"/>
      <c r="K41" s="122" t="str">
        <f aca="false">IFERROR(INDEX(Ledger!$D$6:$D$205,MATCH(0,COUNTIF($K$3:K39,Ledger!$D$6:$D$205)+IF(Ledger!$D$6:$D$205="",1,0),0)),"")</f>
        <v/>
      </c>
      <c r="L41" s="133" t="n">
        <f aca="false">IFERROR(SMALL(IF((Ledger!$D$6:$D$205=$C$4)*IF($C$5="All Years",1,YEAR(Ledger!$A$6:$A$205)=IF($C$5="All Years",0,VALUE($C$5))),ROW(Ledger!$D$6:$D$205)-ROW(Ledger!$D$6)+1),1),"")</f>
        <v>1</v>
      </c>
      <c r="M41" s="4"/>
    </row>
    <row r="42" customFormat="false" ht="19.5" hidden="false" customHeight="true" outlineLevel="0" collapsed="false">
      <c r="A42" s="1" t="n">
        <f aca="false">IF($L41="","",1)</f>
        <v>1</v>
      </c>
      <c r="B42" s="142" t="n">
        <f aca="false">IFERROR(IF($L41="","",INDEX(Ledger!$A$6:$A$205,$L41)),"—")</f>
        <v>0</v>
      </c>
      <c r="C42" s="1" t="n">
        <f aca="false">IFERROR(IF($L41="","",INDEX(Ledger!$B$6:$B$205,$L41)),"—")</f>
        <v>0</v>
      </c>
      <c r="D42" s="1" t="n">
        <f aca="false">IFERROR(IF($L41="","",INDEX(Ledger!$C$6:$C$205,$L41)),"—")</f>
        <v>0</v>
      </c>
      <c r="E42" s="1" t="n">
        <f aca="false">IFERROR(IF($L41="","",INDEX(Ledger!$D$6:$D$205,$L41)),"—")</f>
        <v>0</v>
      </c>
      <c r="F42" s="1" t="n">
        <f aca="false">IFERROR(IF($L41="","",INDEX(Ledger!$E$6:$E$205,$L41)),"—")</f>
        <v>0</v>
      </c>
      <c r="G42" s="143" t="n">
        <f aca="false">IFERROR(IF($L41="","",INDEX(Ledger!$F$6:$F$205,$L41)),"—")</f>
        <v>0</v>
      </c>
      <c r="H42" s="143" t="n">
        <f aca="false">IFERROR(IF($L41="","",INDEX(Ledger!$G$6:$G$205,$L41)),"—")</f>
        <v>0</v>
      </c>
      <c r="I42" s="1" t="str">
        <f aca="false">IFERROR(IF($L41="","",INDEX(Ledger!$H$6:$H$205,$L41)),"—")</f>
        <v/>
      </c>
      <c r="J42" s="4"/>
      <c r="K42" s="122" t="str">
        <f aca="false">IFERROR(INDEX(Ledger!$D$6:$D$205,MATCH(0,COUNTIF($K$3:K40,Ledger!$D$6:$D$205)+IF(Ledger!$D$6:$D$205="",1,0),0)),"")</f>
        <v/>
      </c>
      <c r="L42" s="133" t="n">
        <f aca="false">IFERROR(SMALL(IF((Ledger!$D$6:$D$205=$C$4)*IF($C$5="All Years",1,YEAR(Ledger!$A$6:$A$205)=IF($C$5="All Years",0,VALUE($C$5))),ROW(Ledger!$D$6:$D$205)-ROW(Ledger!$D$6)+1),2),"")</f>
        <v>2</v>
      </c>
      <c r="M42" s="4"/>
    </row>
    <row r="43" customFormat="false" ht="19.5" hidden="false" customHeight="true" outlineLevel="0" collapsed="false">
      <c r="A43" s="1" t="n">
        <f aca="false">IF($L42="","",2)</f>
        <v>2</v>
      </c>
      <c r="B43" s="142" t="n">
        <f aca="false">IFERROR(IF($L42="","",INDEX(Ledger!$A$6:$A$205,$L42)),"—")</f>
        <v>0</v>
      </c>
      <c r="C43" s="1" t="n">
        <f aca="false">IFERROR(IF($L42="","",INDEX(Ledger!$B$6:$B$205,$L42)),"—")</f>
        <v>0</v>
      </c>
      <c r="D43" s="1" t="n">
        <f aca="false">IFERROR(IF($L42="","",INDEX(Ledger!$C$6:$C$205,$L42)),"—")</f>
        <v>0</v>
      </c>
      <c r="E43" s="1" t="n">
        <f aca="false">IFERROR(IF($L42="","",INDEX(Ledger!$D$6:$D$205,$L42)),"—")</f>
        <v>0</v>
      </c>
      <c r="F43" s="1" t="n">
        <f aca="false">IFERROR(IF($L42="","",INDEX(Ledger!$E$6:$E$205,$L42)),"—")</f>
        <v>0</v>
      </c>
      <c r="G43" s="143" t="n">
        <f aca="false">IFERROR(IF($L42="","",INDEX(Ledger!$F$6:$F$205,$L42)),"—")</f>
        <v>0</v>
      </c>
      <c r="H43" s="143" t="n">
        <f aca="false">IFERROR(IF($L42="","",INDEX(Ledger!$G$6:$G$205,$L42)),"—")</f>
        <v>0</v>
      </c>
      <c r="I43" s="1" t="str">
        <f aca="false">IFERROR(IF($L42="","",INDEX(Ledger!$H$6:$H$205,$L42)),"—")</f>
        <v/>
      </c>
      <c r="J43" s="4"/>
      <c r="K43" s="122" t="str">
        <f aca="false">IFERROR(INDEX(Ledger!$D$6:$D$205,MATCH(0,COUNTIF($K$3:K41,Ledger!$D$6:$D$205)+IF(Ledger!$D$6:$D$205="",1,0),0)),"")</f>
        <v/>
      </c>
      <c r="L43" s="133" t="n">
        <f aca="false">IFERROR(SMALL(IF((Ledger!$D$6:$D$205=$C$4)*IF($C$5="All Years",1,YEAR(Ledger!$A$6:$A$205)=IF($C$5="All Years",0,VALUE($C$5))),ROW(Ledger!$D$6:$D$205)-ROW(Ledger!$D$6)+1),3),"")</f>
        <v>3</v>
      </c>
      <c r="M43" s="4"/>
    </row>
    <row r="44" customFormat="false" ht="19.5" hidden="false" customHeight="true" outlineLevel="0" collapsed="false">
      <c r="A44" s="1" t="n">
        <f aca="false">IF($L43="","",3)</f>
        <v>3</v>
      </c>
      <c r="B44" s="142" t="n">
        <f aca="false">IFERROR(IF($L43="","",INDEX(Ledger!$A$6:$A$205,$L43)),"—")</f>
        <v>0</v>
      </c>
      <c r="C44" s="1" t="n">
        <f aca="false">IFERROR(IF($L43="","",INDEX(Ledger!$B$6:$B$205,$L43)),"—")</f>
        <v>0</v>
      </c>
      <c r="D44" s="1" t="n">
        <f aca="false">IFERROR(IF($L43="","",INDEX(Ledger!$C$6:$C$205,$L43)),"—")</f>
        <v>0</v>
      </c>
      <c r="E44" s="1" t="n">
        <f aca="false">IFERROR(IF($L43="","",INDEX(Ledger!$D$6:$D$205,$L43)),"—")</f>
        <v>0</v>
      </c>
      <c r="F44" s="1" t="n">
        <f aca="false">IFERROR(IF($L43="","",INDEX(Ledger!$E$6:$E$205,$L43)),"—")</f>
        <v>0</v>
      </c>
      <c r="G44" s="143" t="n">
        <f aca="false">IFERROR(IF($L43="","",INDEX(Ledger!$F$6:$F$205,$L43)),"—")</f>
        <v>0</v>
      </c>
      <c r="H44" s="143" t="n">
        <f aca="false">IFERROR(IF($L43="","",INDEX(Ledger!$G$6:$G$205,$L43)),"—")</f>
        <v>0</v>
      </c>
      <c r="I44" s="1" t="str">
        <f aca="false">IFERROR(IF($L43="","",INDEX(Ledger!$H$6:$H$205,$L43)),"—")</f>
        <v/>
      </c>
      <c r="J44" s="4"/>
      <c r="K44" s="122" t="str">
        <f aca="false">IFERROR(INDEX(Ledger!$D$6:$D$205,MATCH(0,COUNTIF($K$3:K42,Ledger!$D$6:$D$205)+IF(Ledger!$D$6:$D$205="",1,0),0)),"")</f>
        <v/>
      </c>
      <c r="L44" s="133" t="n">
        <f aca="false">IFERROR(SMALL(IF((Ledger!$D$6:$D$205=$C$4)*IF($C$5="All Years",1,YEAR(Ledger!$A$6:$A$205)=IF($C$5="All Years",0,VALUE($C$5))),ROW(Ledger!$D$6:$D$205)-ROW(Ledger!$D$6)+1),4),"")</f>
        <v>4</v>
      </c>
      <c r="M44" s="4"/>
    </row>
    <row r="45" customFormat="false" ht="19.5" hidden="false" customHeight="true" outlineLevel="0" collapsed="false">
      <c r="A45" s="1" t="n">
        <f aca="false">IF($L44="","",4)</f>
        <v>4</v>
      </c>
      <c r="B45" s="142" t="n">
        <f aca="false">IFERROR(IF($L44="","",INDEX(Ledger!$A$6:$A$205,$L44)),"—")</f>
        <v>0</v>
      </c>
      <c r="C45" s="1" t="n">
        <f aca="false">IFERROR(IF($L44="","",INDEX(Ledger!$B$6:$B$205,$L44)),"—")</f>
        <v>0</v>
      </c>
      <c r="D45" s="1" t="n">
        <f aca="false">IFERROR(IF($L44="","",INDEX(Ledger!$C$6:$C$205,$L44)),"—")</f>
        <v>0</v>
      </c>
      <c r="E45" s="1" t="n">
        <f aca="false">IFERROR(IF($L44="","",INDEX(Ledger!$D$6:$D$205,$L44)),"—")</f>
        <v>0</v>
      </c>
      <c r="F45" s="1" t="n">
        <f aca="false">IFERROR(IF($L44="","",INDEX(Ledger!$E$6:$E$205,$L44)),"—")</f>
        <v>0</v>
      </c>
      <c r="G45" s="143" t="n">
        <f aca="false">IFERROR(IF($L44="","",INDEX(Ledger!$F$6:$F$205,$L44)),"—")</f>
        <v>0</v>
      </c>
      <c r="H45" s="143" t="n">
        <f aca="false">IFERROR(IF($L44="","",INDEX(Ledger!$G$6:$G$205,$L44)),"—")</f>
        <v>0</v>
      </c>
      <c r="I45" s="1" t="str">
        <f aca="false">IFERROR(IF($L44="","",INDEX(Ledger!$H$6:$H$205,$L44)),"—")</f>
        <v/>
      </c>
      <c r="J45" s="4"/>
      <c r="K45" s="122" t="str">
        <f aca="false">IFERROR(INDEX(Ledger!$D$6:$D$205,MATCH(0,COUNTIF($K$3:K43,Ledger!$D$6:$D$205)+IF(Ledger!$D$6:$D$205="",1,0),0)),"")</f>
        <v/>
      </c>
      <c r="L45" s="133" t="n">
        <f aca="false">IFERROR(SMALL(IF((Ledger!$D$6:$D$205=$C$4)*IF($C$5="All Years",1,YEAR(Ledger!$A$6:$A$205)=IF($C$5="All Years",0,VALUE($C$5))),ROW(Ledger!$D$6:$D$205)-ROW(Ledger!$D$6)+1),5),"")</f>
        <v>5</v>
      </c>
      <c r="M45" s="4"/>
    </row>
    <row r="46" customFormat="false" ht="19.5" hidden="false" customHeight="true" outlineLevel="0" collapsed="false">
      <c r="A46" s="1" t="n">
        <f aca="false">IF($L45="","",5)</f>
        <v>5</v>
      </c>
      <c r="B46" s="142" t="n">
        <f aca="false">IFERROR(IF($L45="","",INDEX(Ledger!$A$6:$A$205,$L45)),"—")</f>
        <v>0</v>
      </c>
      <c r="C46" s="1" t="n">
        <f aca="false">IFERROR(IF($L45="","",INDEX(Ledger!$B$6:$B$205,$L45)),"—")</f>
        <v>0</v>
      </c>
      <c r="D46" s="1" t="n">
        <f aca="false">IFERROR(IF($L45="","",INDEX(Ledger!$C$6:$C$205,$L45)),"—")</f>
        <v>0</v>
      </c>
      <c r="E46" s="1" t="n">
        <f aca="false">IFERROR(IF($L45="","",INDEX(Ledger!$D$6:$D$205,$L45)),"—")</f>
        <v>0</v>
      </c>
      <c r="F46" s="1" t="n">
        <f aca="false">IFERROR(IF($L45="","",INDEX(Ledger!$E$6:$E$205,$L45)),"—")</f>
        <v>0</v>
      </c>
      <c r="G46" s="143" t="n">
        <f aca="false">IFERROR(IF($L45="","",INDEX(Ledger!$F$6:$F$205,$L45)),"—")</f>
        <v>0</v>
      </c>
      <c r="H46" s="143" t="n">
        <f aca="false">IFERROR(IF($L45="","",INDEX(Ledger!$G$6:$G$205,$L45)),"—")</f>
        <v>0</v>
      </c>
      <c r="I46" s="1" t="str">
        <f aca="false">IFERROR(IF($L45="","",INDEX(Ledger!$H$6:$H$205,$L45)),"—")</f>
        <v/>
      </c>
      <c r="J46" s="4"/>
      <c r="K46" s="122" t="str">
        <f aca="false">IFERROR(INDEX(Ledger!$D$6:$D$205,MATCH(0,COUNTIF($K$3:K44,Ledger!$D$6:$D$205)+IF(Ledger!$D$6:$D$205="",1,0),0)),"")</f>
        <v/>
      </c>
      <c r="L46" s="133" t="n">
        <f aca="false">IFERROR(SMALL(IF((Ledger!$D$6:$D$205=$C$4)*IF($C$5="All Years",1,YEAR(Ledger!$A$6:$A$205)=IF($C$5="All Years",0,VALUE($C$5))),ROW(Ledger!$D$6:$D$205)-ROW(Ledger!$D$6)+1),6),"")</f>
        <v>6</v>
      </c>
      <c r="M46" s="4"/>
    </row>
    <row r="47" customFormat="false" ht="19.5" hidden="false" customHeight="true" outlineLevel="0" collapsed="false">
      <c r="A47" s="1" t="n">
        <f aca="false">IF($L46="","",6)</f>
        <v>6</v>
      </c>
      <c r="B47" s="142" t="n">
        <f aca="false">IFERROR(IF($L46="","",INDEX(Ledger!$A$6:$A$205,$L46)),"—")</f>
        <v>0</v>
      </c>
      <c r="C47" s="1" t="n">
        <f aca="false">IFERROR(IF($L46="","",INDEX(Ledger!$B$6:$B$205,$L46)),"—")</f>
        <v>0</v>
      </c>
      <c r="D47" s="1" t="n">
        <f aca="false">IFERROR(IF($L46="","",INDEX(Ledger!$C$6:$C$205,$L46)),"—")</f>
        <v>0</v>
      </c>
      <c r="E47" s="1" t="n">
        <f aca="false">IFERROR(IF($L46="","",INDEX(Ledger!$D$6:$D$205,$L46)),"—")</f>
        <v>0</v>
      </c>
      <c r="F47" s="1" t="n">
        <f aca="false">IFERROR(IF($L46="","",INDEX(Ledger!$E$6:$E$205,$L46)),"—")</f>
        <v>0</v>
      </c>
      <c r="G47" s="143" t="n">
        <f aca="false">IFERROR(IF($L46="","",INDEX(Ledger!$F$6:$F$205,$L46)),"—")</f>
        <v>0</v>
      </c>
      <c r="H47" s="143" t="n">
        <f aca="false">IFERROR(IF($L46="","",INDEX(Ledger!$G$6:$G$205,$L46)),"—")</f>
        <v>0</v>
      </c>
      <c r="I47" s="1" t="str">
        <f aca="false">IFERROR(IF($L46="","",INDEX(Ledger!$H$6:$H$205,$L46)),"—")</f>
        <v/>
      </c>
      <c r="J47" s="4"/>
      <c r="K47" s="122" t="str">
        <f aca="false">IFERROR(INDEX(Ledger!$D$6:$D$205,MATCH(0,COUNTIF($K$3:K45,Ledger!$D$6:$D$205)+IF(Ledger!$D$6:$D$205="",1,0),0)),"")</f>
        <v/>
      </c>
      <c r="L47" s="133" t="n">
        <f aca="false">IFERROR(SMALL(IF((Ledger!$D$6:$D$205=$C$4)*IF($C$5="All Years",1,YEAR(Ledger!$A$6:$A$205)=IF($C$5="All Years",0,VALUE($C$5))),ROW(Ledger!$D$6:$D$205)-ROW(Ledger!$D$6)+1),7),"")</f>
        <v>7</v>
      </c>
      <c r="M47" s="4"/>
    </row>
    <row r="48" customFormat="false" ht="19.5" hidden="false" customHeight="true" outlineLevel="0" collapsed="false">
      <c r="A48" s="1" t="n">
        <f aca="false">IF($L47="","",7)</f>
        <v>7</v>
      </c>
      <c r="B48" s="142" t="n">
        <f aca="false">IFERROR(IF($L47="","",INDEX(Ledger!$A$6:$A$205,$L47)),"—")</f>
        <v>0</v>
      </c>
      <c r="C48" s="1" t="n">
        <f aca="false">IFERROR(IF($L47="","",INDEX(Ledger!$B$6:$B$205,$L47)),"—")</f>
        <v>0</v>
      </c>
      <c r="D48" s="1" t="n">
        <f aca="false">IFERROR(IF($L47="","",INDEX(Ledger!$C$6:$C$205,$L47)),"—")</f>
        <v>0</v>
      </c>
      <c r="E48" s="1" t="n">
        <f aca="false">IFERROR(IF($L47="","",INDEX(Ledger!$D$6:$D$205,$L47)),"—")</f>
        <v>0</v>
      </c>
      <c r="F48" s="1" t="n">
        <f aca="false">IFERROR(IF($L47="","",INDEX(Ledger!$E$6:$E$205,$L47)),"—")</f>
        <v>0</v>
      </c>
      <c r="G48" s="143" t="n">
        <f aca="false">IFERROR(IF($L47="","",INDEX(Ledger!$F$6:$F$205,$L47)),"—")</f>
        <v>0</v>
      </c>
      <c r="H48" s="143" t="n">
        <f aca="false">IFERROR(IF($L47="","",INDEX(Ledger!$G$6:$G$205,$L47)),"—")</f>
        <v>0</v>
      </c>
      <c r="I48" s="1" t="str">
        <f aca="false">IFERROR(IF($L47="","",INDEX(Ledger!$H$6:$H$205,$L47)),"—")</f>
        <v/>
      </c>
      <c r="J48" s="4"/>
      <c r="K48" s="122" t="str">
        <f aca="false">IFERROR(INDEX(Ledger!$D$6:$D$205,MATCH(0,COUNTIF($K$3:K46,Ledger!$D$6:$D$205)+IF(Ledger!$D$6:$D$205="",1,0),0)),"")</f>
        <v/>
      </c>
      <c r="L48" s="133" t="n">
        <f aca="false">IFERROR(SMALL(IF((Ledger!$D$6:$D$205=$C$4)*IF($C$5="All Years",1,YEAR(Ledger!$A$6:$A$205)=IF($C$5="All Years",0,VALUE($C$5))),ROW(Ledger!$D$6:$D$205)-ROW(Ledger!$D$6)+1),8),"")</f>
        <v>8</v>
      </c>
      <c r="M48" s="4"/>
    </row>
    <row r="49" customFormat="false" ht="19.5" hidden="false" customHeight="true" outlineLevel="0" collapsed="false">
      <c r="A49" s="1" t="n">
        <f aca="false">IF($L48="","",8)</f>
        <v>8</v>
      </c>
      <c r="B49" s="142" t="n">
        <f aca="false">IFERROR(IF($L48="","",INDEX(Ledger!$A$6:$A$205,$L48)),"—")</f>
        <v>0</v>
      </c>
      <c r="C49" s="1" t="n">
        <f aca="false">IFERROR(IF($L48="","",INDEX(Ledger!$B$6:$B$205,$L48)),"—")</f>
        <v>0</v>
      </c>
      <c r="D49" s="1" t="n">
        <f aca="false">IFERROR(IF($L48="","",INDEX(Ledger!$C$6:$C$205,$L48)),"—")</f>
        <v>0</v>
      </c>
      <c r="E49" s="1" t="n">
        <f aca="false">IFERROR(IF($L48="","",INDEX(Ledger!$D$6:$D$205,$L48)),"—")</f>
        <v>0</v>
      </c>
      <c r="F49" s="1" t="n">
        <f aca="false">IFERROR(IF($L48="","",INDEX(Ledger!$E$6:$E$205,$L48)),"—")</f>
        <v>0</v>
      </c>
      <c r="G49" s="143" t="n">
        <f aca="false">IFERROR(IF($L48="","",INDEX(Ledger!$F$6:$F$205,$L48)),"—")</f>
        <v>0</v>
      </c>
      <c r="H49" s="143" t="n">
        <f aca="false">IFERROR(IF($L48="","",INDEX(Ledger!$G$6:$G$205,$L48)),"—")</f>
        <v>0</v>
      </c>
      <c r="I49" s="1" t="str">
        <f aca="false">IFERROR(IF($L48="","",INDEX(Ledger!$H$6:$H$205,$L48)),"—")</f>
        <v/>
      </c>
      <c r="J49" s="4"/>
      <c r="K49" s="122" t="str">
        <f aca="false">IFERROR(INDEX(Ledger!$D$6:$D$205,MATCH(0,COUNTIF($K$3:K47,Ledger!$D$6:$D$205)+IF(Ledger!$D$6:$D$205="",1,0),0)),"")</f>
        <v/>
      </c>
      <c r="L49" s="133" t="n">
        <f aca="false">IFERROR(SMALL(IF((Ledger!$D$6:$D$205=$C$4)*IF($C$5="All Years",1,YEAR(Ledger!$A$6:$A$205)=IF($C$5="All Years",0,VALUE($C$5))),ROW(Ledger!$D$6:$D$205)-ROW(Ledger!$D$6)+1),9),"")</f>
        <v>9</v>
      </c>
      <c r="M49" s="4"/>
    </row>
    <row r="50" customFormat="false" ht="19.5" hidden="false" customHeight="true" outlineLevel="0" collapsed="false">
      <c r="A50" s="1" t="n">
        <f aca="false">IF($L49="","",9)</f>
        <v>9</v>
      </c>
      <c r="B50" s="142" t="n">
        <f aca="false">IFERROR(IF($L49="","",INDEX(Ledger!$A$6:$A$205,$L49)),"—")</f>
        <v>0</v>
      </c>
      <c r="C50" s="1" t="n">
        <f aca="false">IFERROR(IF($L49="","",INDEX(Ledger!$B$6:$B$205,$L49)),"—")</f>
        <v>0</v>
      </c>
      <c r="D50" s="1" t="n">
        <f aca="false">IFERROR(IF($L49="","",INDEX(Ledger!$C$6:$C$205,$L49)),"—")</f>
        <v>0</v>
      </c>
      <c r="E50" s="1" t="n">
        <f aca="false">IFERROR(IF($L49="","",INDEX(Ledger!$D$6:$D$205,$L49)),"—")</f>
        <v>0</v>
      </c>
      <c r="F50" s="1" t="n">
        <f aca="false">IFERROR(IF($L49="","",INDEX(Ledger!$E$6:$E$205,$L49)),"—")</f>
        <v>0</v>
      </c>
      <c r="G50" s="143" t="n">
        <f aca="false">IFERROR(IF($L49="","",INDEX(Ledger!$F$6:$F$205,$L49)),"—")</f>
        <v>0</v>
      </c>
      <c r="H50" s="143" t="n">
        <f aca="false">IFERROR(IF($L49="","",INDEX(Ledger!$G$6:$G$205,$L49)),"—")</f>
        <v>0</v>
      </c>
      <c r="I50" s="1" t="str">
        <f aca="false">IFERROR(IF($L49="","",INDEX(Ledger!$H$6:$H$205,$L49)),"—")</f>
        <v/>
      </c>
      <c r="J50" s="4"/>
      <c r="K50" s="122" t="str">
        <f aca="false">IFERROR(INDEX(Ledger!$D$6:$D$205,MATCH(0,COUNTIF($K$3:K48,Ledger!$D$6:$D$205)+IF(Ledger!$D$6:$D$205="",1,0),0)),"")</f>
        <v/>
      </c>
      <c r="L50" s="133" t="n">
        <f aca="false">IFERROR(SMALL(IF((Ledger!$D$6:$D$205=$C$4)*IF($C$5="All Years",1,YEAR(Ledger!$A$6:$A$205)=IF($C$5="All Years",0,VALUE($C$5))),ROW(Ledger!$D$6:$D$205)-ROW(Ledger!$D$6)+1),10),"")</f>
        <v>10</v>
      </c>
      <c r="M50" s="4"/>
    </row>
    <row r="51" customFormat="false" ht="19.5" hidden="false" customHeight="true" outlineLevel="0" collapsed="false">
      <c r="A51" s="1" t="n">
        <f aca="false">IF($L50="","",10)</f>
        <v>10</v>
      </c>
      <c r="B51" s="142" t="n">
        <f aca="false">IFERROR(IF($L50="","",INDEX(Ledger!$A$6:$A$205,$L50)),"—")</f>
        <v>0</v>
      </c>
      <c r="C51" s="1" t="n">
        <f aca="false">IFERROR(IF($L50="","",INDEX(Ledger!$B$6:$B$205,$L50)),"—")</f>
        <v>0</v>
      </c>
      <c r="D51" s="1" t="n">
        <f aca="false">IFERROR(IF($L50="","",INDEX(Ledger!$C$6:$C$205,$L50)),"—")</f>
        <v>0</v>
      </c>
      <c r="E51" s="1" t="n">
        <f aca="false">IFERROR(IF($L50="","",INDEX(Ledger!$D$6:$D$205,$L50)),"—")</f>
        <v>0</v>
      </c>
      <c r="F51" s="1" t="n">
        <f aca="false">IFERROR(IF($L50="","",INDEX(Ledger!$E$6:$E$205,$L50)),"—")</f>
        <v>0</v>
      </c>
      <c r="G51" s="143" t="n">
        <f aca="false">IFERROR(IF($L50="","",INDEX(Ledger!$F$6:$F$205,$L50)),"—")</f>
        <v>0</v>
      </c>
      <c r="H51" s="143" t="n">
        <f aca="false">IFERROR(IF($L50="","",INDEX(Ledger!$G$6:$G$205,$L50)),"—")</f>
        <v>0</v>
      </c>
      <c r="I51" s="1" t="str">
        <f aca="false">IFERROR(IF($L50="","",INDEX(Ledger!$H$6:$H$205,$L50)),"—")</f>
        <v/>
      </c>
      <c r="J51" s="4"/>
      <c r="K51" s="122" t="str">
        <f aca="false">IFERROR(INDEX(Ledger!$D$6:$D$205,MATCH(0,COUNTIF($K$3:K49,Ledger!$D$6:$D$205)+IF(Ledger!$D$6:$D$205="",1,0),0)),"")</f>
        <v/>
      </c>
      <c r="L51" s="133" t="n">
        <f aca="false">IFERROR(SMALL(IF((Ledger!$D$6:$D$205=$C$4)*IF($C$5="All Years",1,YEAR(Ledger!$A$6:$A$205)=IF($C$5="All Years",0,VALUE($C$5))),ROW(Ledger!$D$6:$D$205)-ROW(Ledger!$D$6)+1),11),"")</f>
        <v>11</v>
      </c>
      <c r="M51" s="4"/>
    </row>
    <row r="52" customFormat="false" ht="19.5" hidden="false" customHeight="true" outlineLevel="0" collapsed="false">
      <c r="A52" s="1" t="n">
        <f aca="false">IF($L51="","",11)</f>
        <v>11</v>
      </c>
      <c r="B52" s="142" t="n">
        <f aca="false">IFERROR(IF($L51="","",INDEX(Ledger!$A$6:$A$205,$L51)),"—")</f>
        <v>0</v>
      </c>
      <c r="C52" s="1" t="n">
        <f aca="false">IFERROR(IF($L51="","",INDEX(Ledger!$B$6:$B$205,$L51)),"—")</f>
        <v>0</v>
      </c>
      <c r="D52" s="1" t="n">
        <f aca="false">IFERROR(IF($L51="","",INDEX(Ledger!$C$6:$C$205,$L51)),"—")</f>
        <v>0</v>
      </c>
      <c r="E52" s="1" t="n">
        <f aca="false">IFERROR(IF($L51="","",INDEX(Ledger!$D$6:$D$205,$L51)),"—")</f>
        <v>0</v>
      </c>
      <c r="F52" s="1" t="n">
        <f aca="false">IFERROR(IF($L51="","",INDEX(Ledger!$E$6:$E$205,$L51)),"—")</f>
        <v>0</v>
      </c>
      <c r="G52" s="143" t="n">
        <f aca="false">IFERROR(IF($L51="","",INDEX(Ledger!$F$6:$F$205,$L51)),"—")</f>
        <v>0</v>
      </c>
      <c r="H52" s="143" t="n">
        <f aca="false">IFERROR(IF($L51="","",INDEX(Ledger!$G$6:$G$205,$L51)),"—")</f>
        <v>0</v>
      </c>
      <c r="I52" s="1" t="str">
        <f aca="false">IFERROR(IF($L51="","",INDEX(Ledger!$H$6:$H$205,$L51)),"—")</f>
        <v/>
      </c>
      <c r="J52" s="4"/>
      <c r="K52" s="122" t="str">
        <f aca="false">IFERROR(INDEX(Ledger!$D$6:$D$205,MATCH(0,COUNTIF($K$3:K50,Ledger!$D$6:$D$205)+IF(Ledger!$D$6:$D$205="",1,0),0)),"")</f>
        <v/>
      </c>
      <c r="L52" s="133" t="n">
        <f aca="false">IFERROR(SMALL(IF((Ledger!$D$6:$D$205=$C$4)*IF($C$5="All Years",1,YEAR(Ledger!$A$6:$A$205)=IF($C$5="All Years",0,VALUE($C$5))),ROW(Ledger!$D$6:$D$205)-ROW(Ledger!$D$6)+1),12),"")</f>
        <v>12</v>
      </c>
      <c r="M52" s="4"/>
    </row>
    <row r="53" customFormat="false" ht="19.5" hidden="false" customHeight="true" outlineLevel="0" collapsed="false">
      <c r="A53" s="1" t="n">
        <f aca="false">IF($L52="","",12)</f>
        <v>12</v>
      </c>
      <c r="B53" s="142" t="n">
        <f aca="false">IFERROR(IF($L52="","",INDEX(Ledger!$A$6:$A$205,$L52)),"—")</f>
        <v>0</v>
      </c>
      <c r="C53" s="1" t="n">
        <f aca="false">IFERROR(IF($L52="","",INDEX(Ledger!$B$6:$B$205,$L52)),"—")</f>
        <v>0</v>
      </c>
      <c r="D53" s="1" t="n">
        <f aca="false">IFERROR(IF($L52="","",INDEX(Ledger!$C$6:$C$205,$L52)),"—")</f>
        <v>0</v>
      </c>
      <c r="E53" s="1" t="n">
        <f aca="false">IFERROR(IF($L52="","",INDEX(Ledger!$D$6:$D$205,$L52)),"—")</f>
        <v>0</v>
      </c>
      <c r="F53" s="1" t="n">
        <f aca="false">IFERROR(IF($L52="","",INDEX(Ledger!$E$6:$E$205,$L52)),"—")</f>
        <v>0</v>
      </c>
      <c r="G53" s="143" t="n">
        <f aca="false">IFERROR(IF($L52="","",INDEX(Ledger!$F$6:$F$205,$L52)),"—")</f>
        <v>0</v>
      </c>
      <c r="H53" s="143" t="n">
        <f aca="false">IFERROR(IF($L52="","",INDEX(Ledger!$G$6:$G$205,$L52)),"—")</f>
        <v>0</v>
      </c>
      <c r="I53" s="1" t="str">
        <f aca="false">IFERROR(IF($L52="","",INDEX(Ledger!$H$6:$H$205,$L52)),"—")</f>
        <v/>
      </c>
      <c r="J53" s="4"/>
      <c r="K53" s="122" t="str">
        <f aca="false">IFERROR(INDEX(Ledger!$D$6:$D$205,MATCH(0,COUNTIF($K$3:K51,Ledger!$D$6:$D$205)+IF(Ledger!$D$6:$D$205="",1,0),0)),"")</f>
        <v/>
      </c>
      <c r="L53" s="133" t="n">
        <f aca="false">IFERROR(SMALL(IF((Ledger!$D$6:$D$205=$C$4)*IF($C$5="All Years",1,YEAR(Ledger!$A$6:$A$205)=IF($C$5="All Years",0,VALUE($C$5))),ROW(Ledger!$D$6:$D$205)-ROW(Ledger!$D$6)+1),13),"")</f>
        <v>13</v>
      </c>
      <c r="M53" s="4"/>
    </row>
    <row r="54" customFormat="false" ht="19.5" hidden="false" customHeight="true" outlineLevel="0" collapsed="false">
      <c r="A54" s="1" t="n">
        <f aca="false">IF($L53="","",13)</f>
        <v>13</v>
      </c>
      <c r="B54" s="142" t="n">
        <f aca="false">IFERROR(IF($L53="","",INDEX(Ledger!$A$6:$A$205,$L53)),"—")</f>
        <v>0</v>
      </c>
      <c r="C54" s="1" t="n">
        <f aca="false">IFERROR(IF($L53="","",INDEX(Ledger!$B$6:$B$205,$L53)),"—")</f>
        <v>0</v>
      </c>
      <c r="D54" s="1" t="n">
        <f aca="false">IFERROR(IF($L53="","",INDEX(Ledger!$C$6:$C$205,$L53)),"—")</f>
        <v>0</v>
      </c>
      <c r="E54" s="1" t="n">
        <f aca="false">IFERROR(IF($L53="","",INDEX(Ledger!$D$6:$D$205,$L53)),"—")</f>
        <v>0</v>
      </c>
      <c r="F54" s="1" t="n">
        <f aca="false">IFERROR(IF($L53="","",INDEX(Ledger!$E$6:$E$205,$L53)),"—")</f>
        <v>0</v>
      </c>
      <c r="G54" s="143" t="n">
        <f aca="false">IFERROR(IF($L53="","",INDEX(Ledger!$F$6:$F$205,$L53)),"—")</f>
        <v>0</v>
      </c>
      <c r="H54" s="143" t="n">
        <f aca="false">IFERROR(IF($L53="","",INDEX(Ledger!$G$6:$G$205,$L53)),"—")</f>
        <v>0</v>
      </c>
      <c r="I54" s="1" t="str">
        <f aca="false">IFERROR(IF($L53="","",INDEX(Ledger!$H$6:$H$205,$L53)),"—")</f>
        <v/>
      </c>
      <c r="J54" s="4"/>
      <c r="K54" s="122" t="str">
        <f aca="false">IFERROR(INDEX(Ledger!$D$4:$D$203,MATCH(0,COUNTIF($K$3:K52,Ledger!$D$4:$D$203)+IF(Ledger!$D$4:$D$203="",1,0),0)),"")</f>
        <v>Given To</v>
      </c>
      <c r="L54" s="133" t="n">
        <f aca="false">IFERROR(SMALL(IF((Ledger!$D$6:$D$205=$C$4)*IF($C$5="All Years",1,YEAR(Ledger!$A$6:$A$205)=IF($C$5="All Years",0,VALUE($C$5))),ROW(Ledger!$D$6:$D$205)-ROW(Ledger!$D$6)+1),14),"")</f>
        <v>14</v>
      </c>
      <c r="M54" s="4"/>
    </row>
    <row r="55" customFormat="false" ht="19.5" hidden="false" customHeight="true" outlineLevel="0" collapsed="false">
      <c r="A55" s="1" t="n">
        <f aca="false">IF($L54="","",14)</f>
        <v>14</v>
      </c>
      <c r="B55" s="142" t="n">
        <f aca="false">IFERROR(IF($L54="","",INDEX(Ledger!$A$6:$A$205,$L54)),"—")</f>
        <v>0</v>
      </c>
      <c r="C55" s="1" t="n">
        <f aca="false">IFERROR(IF($L54="","",INDEX(Ledger!$B$6:$B$205,$L54)),"—")</f>
        <v>0</v>
      </c>
      <c r="D55" s="1" t="n">
        <f aca="false">IFERROR(IF($L54="","",INDEX(Ledger!$C$6:$C$205,$L54)),"—")</f>
        <v>0</v>
      </c>
      <c r="E55" s="1" t="n">
        <f aca="false">IFERROR(IF($L54="","",INDEX(Ledger!$D$6:$D$205,$L54)),"—")</f>
        <v>0</v>
      </c>
      <c r="F55" s="1" t="n">
        <f aca="false">IFERROR(IF($L54="","",INDEX(Ledger!$E$6:$E$205,$L54)),"—")</f>
        <v>0</v>
      </c>
      <c r="G55" s="143" t="n">
        <f aca="false">IFERROR(IF($L54="","",INDEX(Ledger!$F$6:$F$205,$L54)),"—")</f>
        <v>0</v>
      </c>
      <c r="H55" s="143" t="n">
        <f aca="false">IFERROR(IF($L54="","",INDEX(Ledger!$G$6:$G$205,$L54)),"—")</f>
        <v>0</v>
      </c>
      <c r="I55" s="1" t="str">
        <f aca="false">IFERROR(IF($L54="","",INDEX(Ledger!$H$6:$H$205,$L54)),"—")</f>
        <v/>
      </c>
      <c r="J55" s="4"/>
      <c r="K55" s="4"/>
      <c r="L55" s="133" t="n">
        <f aca="false">IFERROR(SMALL(IF((Ledger!$D$6:$D$205=$C$4)*IF($C$5="All Years",1,YEAR(Ledger!$A$6:$A$205)=IF($C$5="All Years",0,VALUE($C$5))),ROW(Ledger!$D$6:$D$205)-ROW(Ledger!$D$6)+1),15),"")</f>
        <v>15</v>
      </c>
      <c r="M55" s="4"/>
    </row>
    <row r="56" customFormat="false" ht="19.5" hidden="false" customHeight="true" outlineLevel="0" collapsed="false">
      <c r="A56" s="1" t="n">
        <f aca="false">IF($L55="","",15)</f>
        <v>15</v>
      </c>
      <c r="B56" s="142" t="n">
        <f aca="false">IFERROR(IF($L55="","",INDEX(Ledger!$A$6:$A$205,$L55)),"—")</f>
        <v>0</v>
      </c>
      <c r="C56" s="1" t="n">
        <f aca="false">IFERROR(IF($L55="","",INDEX(Ledger!$B$6:$B$205,$L55)),"—")</f>
        <v>0</v>
      </c>
      <c r="D56" s="1" t="n">
        <f aca="false">IFERROR(IF($L55="","",INDEX(Ledger!$C$6:$C$205,$L55)),"—")</f>
        <v>0</v>
      </c>
      <c r="E56" s="1" t="n">
        <f aca="false">IFERROR(IF($L55="","",INDEX(Ledger!$D$6:$D$205,$L55)),"—")</f>
        <v>0</v>
      </c>
      <c r="F56" s="1" t="n">
        <f aca="false">IFERROR(IF($L55="","",INDEX(Ledger!$E$6:$E$205,$L55)),"—")</f>
        <v>0</v>
      </c>
      <c r="G56" s="143" t="n">
        <f aca="false">IFERROR(IF($L55="","",INDEX(Ledger!$F$6:$F$205,$L55)),"—")</f>
        <v>0</v>
      </c>
      <c r="H56" s="143" t="n">
        <f aca="false">IFERROR(IF($L55="","",INDEX(Ledger!$G$6:$G$205,$L55)),"—")</f>
        <v>0</v>
      </c>
      <c r="I56" s="1" t="str">
        <f aca="false">IFERROR(IF($L55="","",INDEX(Ledger!$H$6:$H$205,$L55)),"—")</f>
        <v/>
      </c>
      <c r="J56" s="4"/>
      <c r="K56" s="4"/>
      <c r="L56" s="133" t="n">
        <f aca="false">IFERROR(SMALL(IF((Ledger!$D$6:$D$205=$C$4)*IF($C$5="All Years",1,YEAR(Ledger!$A$6:$A$205)=IF($C$5="All Years",0,VALUE($C$5))),ROW(Ledger!$D$6:$D$205)-ROW(Ledger!$D$6)+1),16),"")</f>
        <v>16</v>
      </c>
      <c r="M56" s="4"/>
    </row>
    <row r="57" customFormat="false" ht="19.5" hidden="false" customHeight="true" outlineLevel="0" collapsed="false">
      <c r="A57" s="1" t="n">
        <f aca="false">IF($L56="","",16)</f>
        <v>16</v>
      </c>
      <c r="B57" s="142" t="n">
        <f aca="false">IFERROR(IF($L56="","",INDEX(Ledger!$A$6:$A$205,$L56)),"—")</f>
        <v>0</v>
      </c>
      <c r="C57" s="1" t="n">
        <f aca="false">IFERROR(IF($L56="","",INDEX(Ledger!$B$6:$B$205,$L56)),"—")</f>
        <v>0</v>
      </c>
      <c r="D57" s="1" t="n">
        <f aca="false">IFERROR(IF($L56="","",INDEX(Ledger!$C$6:$C$205,$L56)),"—")</f>
        <v>0</v>
      </c>
      <c r="E57" s="1" t="n">
        <f aca="false">IFERROR(IF($L56="","",INDEX(Ledger!$D$6:$D$205,$L56)),"—")</f>
        <v>0</v>
      </c>
      <c r="F57" s="1" t="n">
        <f aca="false">IFERROR(IF($L56="","",INDEX(Ledger!$E$6:$E$205,$L56)),"—")</f>
        <v>0</v>
      </c>
      <c r="G57" s="143" t="n">
        <f aca="false">IFERROR(IF($L56="","",INDEX(Ledger!$F$6:$F$205,$L56)),"—")</f>
        <v>0</v>
      </c>
      <c r="H57" s="143" t="n">
        <f aca="false">IFERROR(IF($L56="","",INDEX(Ledger!$G$6:$G$205,$L56)),"—")</f>
        <v>0</v>
      </c>
      <c r="I57" s="1" t="str">
        <f aca="false">IFERROR(IF($L56="","",INDEX(Ledger!$H$6:$H$205,$L56)),"—")</f>
        <v/>
      </c>
      <c r="J57" s="4"/>
      <c r="K57" s="4"/>
      <c r="L57" s="133" t="n">
        <f aca="false">IFERROR(SMALL(IF((Ledger!$D$6:$D$205=$C$4)*IF($C$5="All Years",1,YEAR(Ledger!$A$6:$A$205)=IF($C$5="All Years",0,VALUE($C$5))),ROW(Ledger!$D$6:$D$205)-ROW(Ledger!$D$6)+1),17),"")</f>
        <v>17</v>
      </c>
      <c r="M57" s="4"/>
    </row>
    <row r="58" customFormat="false" ht="19.5" hidden="false" customHeight="true" outlineLevel="0" collapsed="false">
      <c r="A58" s="1" t="n">
        <f aca="false">IF($L57="","",17)</f>
        <v>17</v>
      </c>
      <c r="B58" s="142" t="n">
        <f aca="false">IFERROR(IF($L57="","",INDEX(Ledger!$A$6:$A$205,$L57)),"—")</f>
        <v>0</v>
      </c>
      <c r="C58" s="1" t="n">
        <f aca="false">IFERROR(IF($L57="","",INDEX(Ledger!$B$6:$B$205,$L57)),"—")</f>
        <v>0</v>
      </c>
      <c r="D58" s="1" t="n">
        <f aca="false">IFERROR(IF($L57="","",INDEX(Ledger!$C$6:$C$205,$L57)),"—")</f>
        <v>0</v>
      </c>
      <c r="E58" s="1" t="n">
        <f aca="false">IFERROR(IF($L57="","",INDEX(Ledger!$D$6:$D$205,$L57)),"—")</f>
        <v>0</v>
      </c>
      <c r="F58" s="1" t="n">
        <f aca="false">IFERROR(IF($L57="","",INDEX(Ledger!$E$6:$E$205,$L57)),"—")</f>
        <v>0</v>
      </c>
      <c r="G58" s="143" t="n">
        <f aca="false">IFERROR(IF($L57="","",INDEX(Ledger!$F$6:$F$205,$L57)),"—")</f>
        <v>0</v>
      </c>
      <c r="H58" s="143" t="n">
        <f aca="false">IFERROR(IF($L57="","",INDEX(Ledger!$G$6:$G$205,$L57)),"—")</f>
        <v>0</v>
      </c>
      <c r="I58" s="1" t="str">
        <f aca="false">IFERROR(IF($L57="","",INDEX(Ledger!$H$6:$H$205,$L57)),"—")</f>
        <v/>
      </c>
      <c r="J58" s="4"/>
      <c r="K58" s="4"/>
      <c r="L58" s="133" t="n">
        <f aca="false">IFERROR(SMALL(IF((Ledger!$D$6:$D$205=$C$4)*IF($C$5="All Years",1,YEAR(Ledger!$A$6:$A$205)=IF($C$5="All Years",0,VALUE($C$5))),ROW(Ledger!$D$6:$D$205)-ROW(Ledger!$D$6)+1),18),"")</f>
        <v>18</v>
      </c>
      <c r="M58" s="4"/>
    </row>
    <row r="59" customFormat="false" ht="19.5" hidden="false" customHeight="true" outlineLevel="0" collapsed="false">
      <c r="A59" s="1" t="n">
        <f aca="false">IF($L58="","",18)</f>
        <v>18</v>
      </c>
      <c r="B59" s="142" t="n">
        <f aca="false">IFERROR(IF($L58="","",INDEX(Ledger!$A$6:$A$205,$L58)),"—")</f>
        <v>0</v>
      </c>
      <c r="C59" s="1" t="n">
        <f aca="false">IFERROR(IF($L58="","",INDEX(Ledger!$B$6:$B$205,$L58)),"—")</f>
        <v>0</v>
      </c>
      <c r="D59" s="1" t="n">
        <f aca="false">IFERROR(IF($L58="","",INDEX(Ledger!$C$6:$C$205,$L58)),"—")</f>
        <v>0</v>
      </c>
      <c r="E59" s="1" t="n">
        <f aca="false">IFERROR(IF($L58="","",INDEX(Ledger!$D$6:$D$205,$L58)),"—")</f>
        <v>0</v>
      </c>
      <c r="F59" s="1" t="n">
        <f aca="false">IFERROR(IF($L58="","",INDEX(Ledger!$E$6:$E$205,$L58)),"—")</f>
        <v>0</v>
      </c>
      <c r="G59" s="143" t="n">
        <f aca="false">IFERROR(IF($L58="","",INDEX(Ledger!$F$6:$F$205,$L58)),"—")</f>
        <v>0</v>
      </c>
      <c r="H59" s="143" t="n">
        <f aca="false">IFERROR(IF($L58="","",INDEX(Ledger!$G$6:$G$205,$L58)),"—")</f>
        <v>0</v>
      </c>
      <c r="I59" s="1" t="str">
        <f aca="false">IFERROR(IF($L58="","",INDEX(Ledger!$H$6:$H$205,$L58)),"—")</f>
        <v/>
      </c>
      <c r="J59" s="4"/>
      <c r="K59" s="4"/>
      <c r="L59" s="133" t="n">
        <f aca="false">IFERROR(SMALL(IF((Ledger!$D$6:$D$205=$C$4)*IF($C$5="All Years",1,YEAR(Ledger!$A$6:$A$205)=IF($C$5="All Years",0,VALUE($C$5))),ROW(Ledger!$D$6:$D$205)-ROW(Ledger!$D$6)+1),19),"")</f>
        <v>19</v>
      </c>
      <c r="M59" s="4"/>
    </row>
    <row r="60" customFormat="false" ht="19.5" hidden="false" customHeight="true" outlineLevel="0" collapsed="false">
      <c r="A60" s="1" t="n">
        <f aca="false">IF($L59="","",19)</f>
        <v>19</v>
      </c>
      <c r="B60" s="142" t="n">
        <f aca="false">IFERROR(IF($L59="","",INDEX(Ledger!$A$6:$A$205,$L59)),"—")</f>
        <v>0</v>
      </c>
      <c r="C60" s="1" t="n">
        <f aca="false">IFERROR(IF($L59="","",INDEX(Ledger!$B$6:$B$205,$L59)),"—")</f>
        <v>0</v>
      </c>
      <c r="D60" s="1" t="n">
        <f aca="false">IFERROR(IF($L59="","",INDEX(Ledger!$C$6:$C$205,$L59)),"—")</f>
        <v>0</v>
      </c>
      <c r="E60" s="1" t="n">
        <f aca="false">IFERROR(IF($L59="","",INDEX(Ledger!$D$6:$D$205,$L59)),"—")</f>
        <v>0</v>
      </c>
      <c r="F60" s="1" t="n">
        <f aca="false">IFERROR(IF($L59="","",INDEX(Ledger!$E$6:$E$205,$L59)),"—")</f>
        <v>0</v>
      </c>
      <c r="G60" s="143" t="n">
        <f aca="false">IFERROR(IF($L59="","",INDEX(Ledger!$F$6:$F$205,$L59)),"—")</f>
        <v>0</v>
      </c>
      <c r="H60" s="143" t="n">
        <f aca="false">IFERROR(IF($L59="","",INDEX(Ledger!$G$6:$G$205,$L59)),"—")</f>
        <v>0</v>
      </c>
      <c r="I60" s="1" t="str">
        <f aca="false">IFERROR(IF($L59="","",INDEX(Ledger!$H$6:$H$205,$L59)),"—")</f>
        <v/>
      </c>
      <c r="J60" s="4"/>
      <c r="K60" s="4"/>
      <c r="L60" s="133" t="n">
        <f aca="false">IFERROR(SMALL(IF((Ledger!$D$6:$D$205=$C$4)*IF($C$5="All Years",1,YEAR(Ledger!$A$6:$A$205)=IF($C$5="All Years",0,VALUE($C$5))),ROW(Ledger!$D$6:$D$205)-ROW(Ledger!$D$6)+1),20),"")</f>
        <v>20</v>
      </c>
      <c r="M60" s="4"/>
    </row>
    <row r="61" customFormat="false" ht="19.5" hidden="false" customHeight="true" outlineLevel="0" collapsed="false">
      <c r="A61" s="1" t="n">
        <f aca="false">IF($L60="","",20)</f>
        <v>20</v>
      </c>
      <c r="B61" s="142" t="n">
        <f aca="false">IFERROR(IF($L60="","",INDEX(Ledger!$A$6:$A$205,$L60)),"—")</f>
        <v>0</v>
      </c>
      <c r="C61" s="1" t="n">
        <f aca="false">IFERROR(IF($L60="","",INDEX(Ledger!$B$6:$B$205,$L60)),"—")</f>
        <v>0</v>
      </c>
      <c r="D61" s="1" t="n">
        <f aca="false">IFERROR(IF($L60="","",INDEX(Ledger!$C$6:$C$205,$L60)),"—")</f>
        <v>0</v>
      </c>
      <c r="E61" s="1" t="n">
        <f aca="false">IFERROR(IF($L60="","",INDEX(Ledger!$D$6:$D$205,$L60)),"—")</f>
        <v>0</v>
      </c>
      <c r="F61" s="1" t="n">
        <f aca="false">IFERROR(IF($L60="","",INDEX(Ledger!$E$6:$E$205,$L60)),"—")</f>
        <v>0</v>
      </c>
      <c r="G61" s="143" t="n">
        <f aca="false">IFERROR(IF($L60="","",INDEX(Ledger!$F$6:$F$205,$L60)),"—")</f>
        <v>0</v>
      </c>
      <c r="H61" s="143" t="n">
        <f aca="false">IFERROR(IF($L60="","",INDEX(Ledger!$G$6:$G$205,$L60)),"—")</f>
        <v>0</v>
      </c>
      <c r="I61" s="1" t="str">
        <f aca="false">IFERROR(IF($L60="","",INDEX(Ledger!$H$6:$H$205,$L60)),"—")</f>
        <v/>
      </c>
      <c r="J61" s="4"/>
      <c r="K61" s="4"/>
      <c r="L61" s="133" t="n">
        <f aca="false">IFERROR(SMALL(IF((Ledger!$D$6:$D$205=$C$4)*IF($C$5="All Years",1,YEAR(Ledger!$A$6:$A$205)=IF($C$5="All Years",0,VALUE($C$5))),ROW(Ledger!$D$6:$D$205)-ROW(Ledger!$D$6)+1),21),"")</f>
        <v>21</v>
      </c>
      <c r="M61" s="4"/>
    </row>
    <row r="62" customFormat="false" ht="19.5" hidden="false" customHeight="true" outlineLevel="0" collapsed="false">
      <c r="A62" s="1" t="n">
        <f aca="false">IF($L61="","",21)</f>
        <v>21</v>
      </c>
      <c r="B62" s="142" t="n">
        <f aca="false">IFERROR(IF($L61="","",INDEX(Ledger!$A$6:$A$205,$L61)),"—")</f>
        <v>0</v>
      </c>
      <c r="C62" s="1" t="n">
        <f aca="false">IFERROR(IF($L61="","",INDEX(Ledger!$B$6:$B$205,$L61)),"—")</f>
        <v>0</v>
      </c>
      <c r="D62" s="1" t="n">
        <f aca="false">IFERROR(IF($L61="","",INDEX(Ledger!$C$6:$C$205,$L61)),"—")</f>
        <v>0</v>
      </c>
      <c r="E62" s="1" t="n">
        <f aca="false">IFERROR(IF($L61="","",INDEX(Ledger!$D$6:$D$205,$L61)),"—")</f>
        <v>0</v>
      </c>
      <c r="F62" s="1" t="n">
        <f aca="false">IFERROR(IF($L61="","",INDEX(Ledger!$E$6:$E$205,$L61)),"—")</f>
        <v>0</v>
      </c>
      <c r="G62" s="143" t="n">
        <f aca="false">IFERROR(IF($L61="","",INDEX(Ledger!$F$6:$F$205,$L61)),"—")</f>
        <v>0</v>
      </c>
      <c r="H62" s="143" t="n">
        <f aca="false">IFERROR(IF($L61="","",INDEX(Ledger!$G$6:$G$205,$L61)),"—")</f>
        <v>0</v>
      </c>
      <c r="I62" s="1" t="str">
        <f aca="false">IFERROR(IF($L61="","",INDEX(Ledger!$H$6:$H$205,$L61)),"—")</f>
        <v/>
      </c>
      <c r="J62" s="4"/>
      <c r="K62" s="4"/>
      <c r="L62" s="133" t="n">
        <f aca="false">IFERROR(SMALL(IF((Ledger!$D$6:$D$205=$C$4)*IF($C$5="All Years",1,YEAR(Ledger!$A$6:$A$205)=IF($C$5="All Years",0,VALUE($C$5))),ROW(Ledger!$D$6:$D$205)-ROW(Ledger!$D$6)+1),22),"")</f>
        <v>22</v>
      </c>
      <c r="M62" s="4"/>
    </row>
    <row r="63" customFormat="false" ht="19.5" hidden="false" customHeight="true" outlineLevel="0" collapsed="false">
      <c r="A63" s="1" t="n">
        <f aca="false">IF($L62="","",22)</f>
        <v>22</v>
      </c>
      <c r="B63" s="142" t="n">
        <f aca="false">IFERROR(IF($L62="","",INDEX(Ledger!$A$6:$A$205,$L62)),"—")</f>
        <v>0</v>
      </c>
      <c r="C63" s="1" t="n">
        <f aca="false">IFERROR(IF($L62="","",INDEX(Ledger!$B$6:$B$205,$L62)),"—")</f>
        <v>0</v>
      </c>
      <c r="D63" s="1" t="n">
        <f aca="false">IFERROR(IF($L62="","",INDEX(Ledger!$C$6:$C$205,$L62)),"—")</f>
        <v>0</v>
      </c>
      <c r="E63" s="1" t="n">
        <f aca="false">IFERROR(IF($L62="","",INDEX(Ledger!$D$6:$D$205,$L62)),"—")</f>
        <v>0</v>
      </c>
      <c r="F63" s="1" t="n">
        <f aca="false">IFERROR(IF($L62="","",INDEX(Ledger!$E$6:$E$205,$L62)),"—")</f>
        <v>0</v>
      </c>
      <c r="G63" s="143" t="n">
        <f aca="false">IFERROR(IF($L62="","",INDEX(Ledger!$F$6:$F$205,$L62)),"—")</f>
        <v>0</v>
      </c>
      <c r="H63" s="143" t="n">
        <f aca="false">IFERROR(IF($L62="","",INDEX(Ledger!$G$6:$G$205,$L62)),"—")</f>
        <v>0</v>
      </c>
      <c r="I63" s="1" t="str">
        <f aca="false">IFERROR(IF($L62="","",INDEX(Ledger!$H$6:$H$205,$L62)),"—")</f>
        <v/>
      </c>
      <c r="J63" s="4"/>
      <c r="K63" s="4"/>
      <c r="L63" s="133" t="n">
        <f aca="false">IFERROR(SMALL(IF((Ledger!$D$6:$D$205=$C$4)*IF($C$5="All Years",1,YEAR(Ledger!$A$6:$A$205)=IF($C$5="All Years",0,VALUE($C$5))),ROW(Ledger!$D$6:$D$205)-ROW(Ledger!$D$6)+1),23),"")</f>
        <v>23</v>
      </c>
      <c r="M63" s="4"/>
    </row>
    <row r="64" customFormat="false" ht="19.5" hidden="false" customHeight="true" outlineLevel="0" collapsed="false">
      <c r="A64" s="1" t="n">
        <f aca="false">IF($L63="","",23)</f>
        <v>23</v>
      </c>
      <c r="B64" s="142" t="n">
        <f aca="false">IFERROR(IF($L63="","",INDEX(Ledger!$A$6:$A$205,$L63)),"—")</f>
        <v>0</v>
      </c>
      <c r="C64" s="1" t="n">
        <f aca="false">IFERROR(IF($L63="","",INDEX(Ledger!$B$6:$B$205,$L63)),"—")</f>
        <v>0</v>
      </c>
      <c r="D64" s="1" t="n">
        <f aca="false">IFERROR(IF($L63="","",INDEX(Ledger!$C$6:$C$205,$L63)),"—")</f>
        <v>0</v>
      </c>
      <c r="E64" s="1" t="n">
        <f aca="false">IFERROR(IF($L63="","",INDEX(Ledger!$D$6:$D$205,$L63)),"—")</f>
        <v>0</v>
      </c>
      <c r="F64" s="1" t="n">
        <f aca="false">IFERROR(IF($L63="","",INDEX(Ledger!$E$6:$E$205,$L63)),"—")</f>
        <v>0</v>
      </c>
      <c r="G64" s="143" t="n">
        <f aca="false">IFERROR(IF($L63="","",INDEX(Ledger!$F$6:$F$205,$L63)),"—")</f>
        <v>0</v>
      </c>
      <c r="H64" s="143" t="n">
        <f aca="false">IFERROR(IF($L63="","",INDEX(Ledger!$G$6:$G$205,$L63)),"—")</f>
        <v>0</v>
      </c>
      <c r="I64" s="1" t="str">
        <f aca="false">IFERROR(IF($L63="","",INDEX(Ledger!$H$6:$H$205,$L63)),"—")</f>
        <v/>
      </c>
      <c r="J64" s="4"/>
      <c r="K64" s="4"/>
      <c r="L64" s="133" t="n">
        <f aca="false">IFERROR(SMALL(IF((Ledger!$D$6:$D$205=$C$4)*IF($C$5="All Years",1,YEAR(Ledger!$A$6:$A$205)=IF($C$5="All Years",0,VALUE($C$5))),ROW(Ledger!$D$6:$D$205)-ROW(Ledger!$D$6)+1),24),"")</f>
        <v>24</v>
      </c>
      <c r="M64" s="4"/>
    </row>
    <row r="65" customFormat="false" ht="19.5" hidden="false" customHeight="true" outlineLevel="0" collapsed="false">
      <c r="A65" s="1" t="n">
        <f aca="false">IF($L64="","",24)</f>
        <v>24</v>
      </c>
      <c r="B65" s="142" t="n">
        <f aca="false">IFERROR(IF($L64="","",INDEX(Ledger!$A$6:$A$205,$L64)),"—")</f>
        <v>0</v>
      </c>
      <c r="C65" s="1" t="n">
        <f aca="false">IFERROR(IF($L64="","",INDEX(Ledger!$B$6:$B$205,$L64)),"—")</f>
        <v>0</v>
      </c>
      <c r="D65" s="1" t="n">
        <f aca="false">IFERROR(IF($L64="","",INDEX(Ledger!$C$6:$C$205,$L64)),"—")</f>
        <v>0</v>
      </c>
      <c r="E65" s="1" t="n">
        <f aca="false">IFERROR(IF($L64="","",INDEX(Ledger!$D$6:$D$205,$L64)),"—")</f>
        <v>0</v>
      </c>
      <c r="F65" s="1" t="n">
        <f aca="false">IFERROR(IF($L64="","",INDEX(Ledger!$E$6:$E$205,$L64)),"—")</f>
        <v>0</v>
      </c>
      <c r="G65" s="143" t="n">
        <f aca="false">IFERROR(IF($L64="","",INDEX(Ledger!$F$6:$F$205,$L64)),"—")</f>
        <v>0</v>
      </c>
      <c r="H65" s="143" t="n">
        <f aca="false">IFERROR(IF($L64="","",INDEX(Ledger!$G$6:$G$205,$L64)),"—")</f>
        <v>0</v>
      </c>
      <c r="I65" s="1" t="str">
        <f aca="false">IFERROR(IF($L64="","",INDEX(Ledger!$H$6:$H$205,$L64)),"—")</f>
        <v/>
      </c>
      <c r="J65" s="4"/>
      <c r="K65" s="4"/>
      <c r="L65" s="133" t="n">
        <f aca="false">IFERROR(SMALL(IF((Ledger!$D$6:$D$205=$C$4)*IF($C$5="All Years",1,YEAR(Ledger!$A$6:$A$205)=IF($C$5="All Years",0,VALUE($C$5))),ROW(Ledger!$D$6:$D$205)-ROW(Ledger!$D$6)+1),25),"")</f>
        <v>25</v>
      </c>
      <c r="M65" s="4"/>
    </row>
    <row r="66" customFormat="false" ht="19.5" hidden="false" customHeight="true" outlineLevel="0" collapsed="false">
      <c r="A66" s="1" t="n">
        <f aca="false">IF($L65="","",25)</f>
        <v>25</v>
      </c>
      <c r="B66" s="142" t="n">
        <f aca="false">IFERROR(IF($L65="","",INDEX(Ledger!$A$6:$A$205,$L65)),"—")</f>
        <v>0</v>
      </c>
      <c r="C66" s="1" t="n">
        <f aca="false">IFERROR(IF($L65="","",INDEX(Ledger!$B$6:$B$205,$L65)),"—")</f>
        <v>0</v>
      </c>
      <c r="D66" s="1" t="n">
        <f aca="false">IFERROR(IF($L65="","",INDEX(Ledger!$C$6:$C$205,$L65)),"—")</f>
        <v>0</v>
      </c>
      <c r="E66" s="1" t="n">
        <f aca="false">IFERROR(IF($L65="","",INDEX(Ledger!$D$6:$D$205,$L65)),"—")</f>
        <v>0</v>
      </c>
      <c r="F66" s="1" t="n">
        <f aca="false">IFERROR(IF($L65="","",INDEX(Ledger!$E$6:$E$205,$L65)),"—")</f>
        <v>0</v>
      </c>
      <c r="G66" s="143" t="n">
        <f aca="false">IFERROR(IF($L65="","",INDEX(Ledger!$F$6:$F$205,$L65)),"—")</f>
        <v>0</v>
      </c>
      <c r="H66" s="143" t="n">
        <f aca="false">IFERROR(IF($L65="","",INDEX(Ledger!$G$6:$G$205,$L65)),"—")</f>
        <v>0</v>
      </c>
      <c r="I66" s="1" t="str">
        <f aca="false">IFERROR(IF($L65="","",INDEX(Ledger!$H$6:$H$205,$L65)),"—")</f>
        <v/>
      </c>
      <c r="J66" s="4"/>
      <c r="K66" s="4"/>
      <c r="L66" s="133" t="n">
        <f aca="false">IFERROR(SMALL(IF((Ledger!$D$6:$D$205=$C$4)*IF($C$5="All Years",1,YEAR(Ledger!$A$6:$A$205)=IF($C$5="All Years",0,VALUE($C$5))),ROW(Ledger!$D$6:$D$205)-ROW(Ledger!$D$6)+1),26),"")</f>
        <v>26</v>
      </c>
      <c r="M66" s="4"/>
    </row>
    <row r="67" customFormat="false" ht="19.5" hidden="false" customHeight="true" outlineLevel="0" collapsed="false">
      <c r="A67" s="1" t="n">
        <f aca="false">IF($L66="","",26)</f>
        <v>26</v>
      </c>
      <c r="B67" s="142" t="n">
        <f aca="false">IFERROR(IF($L66="","",INDEX(Ledger!$A$6:$A$205,$L66)),"—")</f>
        <v>0</v>
      </c>
      <c r="C67" s="1" t="n">
        <f aca="false">IFERROR(IF($L66="","",INDEX(Ledger!$B$6:$B$205,$L66)),"—")</f>
        <v>0</v>
      </c>
      <c r="D67" s="1" t="n">
        <f aca="false">IFERROR(IF($L66="","",INDEX(Ledger!$C$6:$C$205,$L66)),"—")</f>
        <v>0</v>
      </c>
      <c r="E67" s="1" t="n">
        <f aca="false">IFERROR(IF($L66="","",INDEX(Ledger!$D$6:$D$205,$L66)),"—")</f>
        <v>0</v>
      </c>
      <c r="F67" s="1" t="n">
        <f aca="false">IFERROR(IF($L66="","",INDEX(Ledger!$E$6:$E$205,$L66)),"—")</f>
        <v>0</v>
      </c>
      <c r="G67" s="143" t="n">
        <f aca="false">IFERROR(IF($L66="","",INDEX(Ledger!$F$6:$F$205,$L66)),"—")</f>
        <v>0</v>
      </c>
      <c r="H67" s="143" t="n">
        <f aca="false">IFERROR(IF($L66="","",INDEX(Ledger!$G$6:$G$205,$L66)),"—")</f>
        <v>0</v>
      </c>
      <c r="I67" s="1" t="str">
        <f aca="false">IFERROR(IF($L66="","",INDEX(Ledger!$H$6:$H$205,$L66)),"—")</f>
        <v/>
      </c>
      <c r="J67" s="4"/>
      <c r="K67" s="4"/>
      <c r="L67" s="133" t="n">
        <f aca="false">IFERROR(SMALL(IF((Ledger!$D$6:$D$205=$C$4)*IF($C$5="All Years",1,YEAR(Ledger!$A$6:$A$205)=IF($C$5="All Years",0,VALUE($C$5))),ROW(Ledger!$D$6:$D$205)-ROW(Ledger!$D$6)+1),27),"")</f>
        <v>27</v>
      </c>
      <c r="M67" s="4"/>
    </row>
    <row r="68" customFormat="false" ht="19.5" hidden="false" customHeight="true" outlineLevel="0" collapsed="false">
      <c r="A68" s="1" t="n">
        <f aca="false">IF($L67="","",27)</f>
        <v>27</v>
      </c>
      <c r="B68" s="142" t="n">
        <f aca="false">IFERROR(IF($L67="","",INDEX(Ledger!$A$6:$A$205,$L67)),"—")</f>
        <v>0</v>
      </c>
      <c r="C68" s="1" t="n">
        <f aca="false">IFERROR(IF($L67="","",INDEX(Ledger!$B$6:$B$205,$L67)),"—")</f>
        <v>0</v>
      </c>
      <c r="D68" s="1" t="n">
        <f aca="false">IFERROR(IF($L67="","",INDEX(Ledger!$C$6:$C$205,$L67)),"—")</f>
        <v>0</v>
      </c>
      <c r="E68" s="1" t="n">
        <f aca="false">IFERROR(IF($L67="","",INDEX(Ledger!$D$6:$D$205,$L67)),"—")</f>
        <v>0</v>
      </c>
      <c r="F68" s="1" t="n">
        <f aca="false">IFERROR(IF($L67="","",INDEX(Ledger!$E$6:$E$205,$L67)),"—")</f>
        <v>0</v>
      </c>
      <c r="G68" s="143" t="n">
        <f aca="false">IFERROR(IF($L67="","",INDEX(Ledger!$F$6:$F$205,$L67)),"—")</f>
        <v>0</v>
      </c>
      <c r="H68" s="143" t="n">
        <f aca="false">IFERROR(IF($L67="","",INDEX(Ledger!$G$6:$G$205,$L67)),"—")</f>
        <v>0</v>
      </c>
      <c r="I68" s="1" t="str">
        <f aca="false">IFERROR(IF($L67="","",INDEX(Ledger!$H$6:$H$205,$L67)),"—")</f>
        <v/>
      </c>
      <c r="J68" s="4"/>
      <c r="K68" s="4"/>
      <c r="L68" s="133" t="n">
        <f aca="false">IFERROR(SMALL(IF((Ledger!$D$6:$D$205=$C$4)*IF($C$5="All Years",1,YEAR(Ledger!$A$6:$A$205)=IF($C$5="All Years",0,VALUE($C$5))),ROW(Ledger!$D$6:$D$205)-ROW(Ledger!$D$6)+1),28),"")</f>
        <v>28</v>
      </c>
      <c r="M68" s="4"/>
    </row>
    <row r="69" customFormat="false" ht="19.5" hidden="false" customHeight="true" outlineLevel="0" collapsed="false">
      <c r="A69" s="1" t="n">
        <f aca="false">IF($L68="","",28)</f>
        <v>28</v>
      </c>
      <c r="B69" s="142" t="n">
        <f aca="false">IFERROR(IF($L68="","",INDEX(Ledger!$A$6:$A$205,$L68)),"—")</f>
        <v>0</v>
      </c>
      <c r="C69" s="1" t="n">
        <f aca="false">IFERROR(IF($L68="","",INDEX(Ledger!$B$6:$B$205,$L68)),"—")</f>
        <v>0</v>
      </c>
      <c r="D69" s="1" t="n">
        <f aca="false">IFERROR(IF($L68="","",INDEX(Ledger!$C$6:$C$205,$L68)),"—")</f>
        <v>0</v>
      </c>
      <c r="E69" s="1" t="n">
        <f aca="false">IFERROR(IF($L68="","",INDEX(Ledger!$D$6:$D$205,$L68)),"—")</f>
        <v>0</v>
      </c>
      <c r="F69" s="1" t="n">
        <f aca="false">IFERROR(IF($L68="","",INDEX(Ledger!$E$6:$E$205,$L68)),"—")</f>
        <v>0</v>
      </c>
      <c r="G69" s="143" t="n">
        <f aca="false">IFERROR(IF($L68="","",INDEX(Ledger!$F$6:$F$205,$L68)),"—")</f>
        <v>0</v>
      </c>
      <c r="H69" s="143" t="n">
        <f aca="false">IFERROR(IF($L68="","",INDEX(Ledger!$G$6:$G$205,$L68)),"—")</f>
        <v>0</v>
      </c>
      <c r="I69" s="1" t="str">
        <f aca="false">IFERROR(IF($L68="","",INDEX(Ledger!$H$6:$H$205,$L68)),"—")</f>
        <v/>
      </c>
      <c r="J69" s="4"/>
      <c r="K69" s="4"/>
      <c r="L69" s="133" t="n">
        <f aca="false">IFERROR(SMALL(IF((Ledger!$D$6:$D$205=$C$4)*IF($C$5="All Years",1,YEAR(Ledger!$A$6:$A$205)=IF($C$5="All Years",0,VALUE($C$5))),ROW(Ledger!$D$6:$D$205)-ROW(Ledger!$D$6)+1),29),"")</f>
        <v>29</v>
      </c>
      <c r="M69" s="4"/>
    </row>
    <row r="70" customFormat="false" ht="19.5" hidden="false" customHeight="true" outlineLevel="0" collapsed="false">
      <c r="A70" s="1" t="n">
        <f aca="false">IF($L69="","",29)</f>
        <v>29</v>
      </c>
      <c r="B70" s="142" t="n">
        <f aca="false">IFERROR(IF($L69="","",INDEX(Ledger!$A$6:$A$205,$L69)),"—")</f>
        <v>0</v>
      </c>
      <c r="C70" s="1" t="n">
        <f aca="false">IFERROR(IF($L69="","",INDEX(Ledger!$B$6:$B$205,$L69)),"—")</f>
        <v>0</v>
      </c>
      <c r="D70" s="1" t="n">
        <f aca="false">IFERROR(IF($L69="","",INDEX(Ledger!$C$6:$C$205,$L69)),"—")</f>
        <v>0</v>
      </c>
      <c r="E70" s="1" t="n">
        <f aca="false">IFERROR(IF($L69="","",INDEX(Ledger!$D$6:$D$205,$L69)),"—")</f>
        <v>0</v>
      </c>
      <c r="F70" s="1" t="n">
        <f aca="false">IFERROR(IF($L69="","",INDEX(Ledger!$E$6:$E$205,$L69)),"—")</f>
        <v>0</v>
      </c>
      <c r="G70" s="143" t="n">
        <f aca="false">IFERROR(IF($L69="","",INDEX(Ledger!$F$6:$F$205,$L69)),"—")</f>
        <v>0</v>
      </c>
      <c r="H70" s="143" t="n">
        <f aca="false">IFERROR(IF($L69="","",INDEX(Ledger!$G$6:$G$205,$L69)),"—")</f>
        <v>0</v>
      </c>
      <c r="I70" s="1" t="str">
        <f aca="false">IFERROR(IF($L69="","",INDEX(Ledger!$H$6:$H$205,$L69)),"—")</f>
        <v/>
      </c>
      <c r="J70" s="4"/>
      <c r="K70" s="4"/>
      <c r="L70" s="133" t="n">
        <f aca="false">IFERROR(SMALL(IF((Ledger!$D$6:$D$205=$C$4)*IF($C$5="All Years",1,YEAR(Ledger!$A$6:$A$205)=IF($C$5="All Years",0,VALUE($C$5))),ROW(Ledger!$D$6:$D$205)-ROW(Ledger!$D$6)+1),30),"")</f>
        <v>30</v>
      </c>
      <c r="M70" s="4"/>
    </row>
    <row r="71" customFormat="false" ht="19.5" hidden="false" customHeight="true" outlineLevel="0" collapsed="false">
      <c r="A71" s="1" t="n">
        <f aca="false">IF($L70="","",30)</f>
        <v>30</v>
      </c>
      <c r="B71" s="142" t="n">
        <f aca="false">IFERROR(IF($L70="","",INDEX(Ledger!$A$6:$A$205,$L70)),"—")</f>
        <v>0</v>
      </c>
      <c r="C71" s="1" t="n">
        <f aca="false">IFERROR(IF($L70="","",INDEX(Ledger!$B$6:$B$205,$L70)),"—")</f>
        <v>0</v>
      </c>
      <c r="D71" s="1" t="n">
        <f aca="false">IFERROR(IF($L70="","",INDEX(Ledger!$C$6:$C$205,$L70)),"—")</f>
        <v>0</v>
      </c>
      <c r="E71" s="1" t="n">
        <f aca="false">IFERROR(IF($L70="","",INDEX(Ledger!$D$6:$D$205,$L70)),"—")</f>
        <v>0</v>
      </c>
      <c r="F71" s="1" t="n">
        <f aca="false">IFERROR(IF($L70="","",INDEX(Ledger!$E$6:$E$205,$L70)),"—")</f>
        <v>0</v>
      </c>
      <c r="G71" s="143" t="n">
        <f aca="false">IFERROR(IF($L70="","",INDEX(Ledger!$F$6:$F$205,$L70)),"—")</f>
        <v>0</v>
      </c>
      <c r="H71" s="143" t="n">
        <f aca="false">IFERROR(IF($L70="","",INDEX(Ledger!$G$6:$G$205,$L70)),"—")</f>
        <v>0</v>
      </c>
      <c r="I71" s="1" t="str">
        <f aca="false">IFERROR(IF($L70="","",INDEX(Ledger!$H$6:$H$205,$L70)),"—")</f>
        <v/>
      </c>
      <c r="J71" s="4"/>
      <c r="K71" s="4"/>
      <c r="L71" s="133" t="n">
        <f aca="false">IFERROR(SMALL(IF((Ledger!$D$6:$D$205=$C$4)*IF($C$5="All Years",1,YEAR(Ledger!$A$6:$A$205)=IF($C$5="All Years",0,VALUE($C$5))),ROW(Ledger!$D$6:$D$205)-ROW(Ledger!$D$6)+1),31),"")</f>
        <v>31</v>
      </c>
      <c r="M71" s="4"/>
    </row>
    <row r="72" customFormat="false" ht="19.5" hidden="false" customHeight="true" outlineLevel="0" collapsed="false">
      <c r="A72" s="1" t="n">
        <f aca="false">IF($L71="","",31)</f>
        <v>31</v>
      </c>
      <c r="B72" s="142" t="n">
        <f aca="false">IFERROR(IF($L71="","",INDEX(Ledger!$A$6:$A$205,$L71)),"—")</f>
        <v>0</v>
      </c>
      <c r="C72" s="1" t="n">
        <f aca="false">IFERROR(IF($L71="","",INDEX(Ledger!$B$6:$B$205,$L71)),"—")</f>
        <v>0</v>
      </c>
      <c r="D72" s="1" t="n">
        <f aca="false">IFERROR(IF($L71="","",INDEX(Ledger!$C$6:$C$205,$L71)),"—")</f>
        <v>0</v>
      </c>
      <c r="E72" s="1" t="n">
        <f aca="false">IFERROR(IF($L71="","",INDEX(Ledger!$D$6:$D$205,$L71)),"—")</f>
        <v>0</v>
      </c>
      <c r="F72" s="1" t="n">
        <f aca="false">IFERROR(IF($L71="","",INDEX(Ledger!$E$6:$E$205,$L71)),"—")</f>
        <v>0</v>
      </c>
      <c r="G72" s="143" t="n">
        <f aca="false">IFERROR(IF($L71="","",INDEX(Ledger!$F$6:$F$205,$L71)),"—")</f>
        <v>0</v>
      </c>
      <c r="H72" s="143" t="n">
        <f aca="false">IFERROR(IF($L71="","",INDEX(Ledger!$G$6:$G$205,$L71)),"—")</f>
        <v>0</v>
      </c>
      <c r="I72" s="1" t="str">
        <f aca="false">IFERROR(IF($L71="","",INDEX(Ledger!$H$6:$H$205,$L71)),"—")</f>
        <v/>
      </c>
      <c r="J72" s="4"/>
      <c r="K72" s="4"/>
      <c r="L72" s="133" t="n">
        <f aca="false">IFERROR(SMALL(IF((Ledger!$D$6:$D$205=$C$4)*IF($C$5="All Years",1,YEAR(Ledger!$A$6:$A$205)=IF($C$5="All Years",0,VALUE($C$5))),ROW(Ledger!$D$6:$D$205)-ROW(Ledger!$D$6)+1),32),"")</f>
        <v>32</v>
      </c>
      <c r="M72" s="4"/>
    </row>
    <row r="73" customFormat="false" ht="19.5" hidden="false" customHeight="true" outlineLevel="0" collapsed="false">
      <c r="A73" s="1" t="n">
        <f aca="false">IF($L72="","",32)</f>
        <v>32</v>
      </c>
      <c r="B73" s="142" t="n">
        <f aca="false">IFERROR(IF($L72="","",INDEX(Ledger!$A$6:$A$205,$L72)),"—")</f>
        <v>0</v>
      </c>
      <c r="C73" s="1" t="n">
        <f aca="false">IFERROR(IF($L72="","",INDEX(Ledger!$B$6:$B$205,$L72)),"—")</f>
        <v>0</v>
      </c>
      <c r="D73" s="1" t="n">
        <f aca="false">IFERROR(IF($L72="","",INDEX(Ledger!$C$6:$C$205,$L72)),"—")</f>
        <v>0</v>
      </c>
      <c r="E73" s="1" t="n">
        <f aca="false">IFERROR(IF($L72="","",INDEX(Ledger!$D$6:$D$205,$L72)),"—")</f>
        <v>0</v>
      </c>
      <c r="F73" s="1" t="n">
        <f aca="false">IFERROR(IF($L72="","",INDEX(Ledger!$E$6:$E$205,$L72)),"—")</f>
        <v>0</v>
      </c>
      <c r="G73" s="143" t="n">
        <f aca="false">IFERROR(IF($L72="","",INDEX(Ledger!$F$6:$F$205,$L72)),"—")</f>
        <v>0</v>
      </c>
      <c r="H73" s="143" t="n">
        <f aca="false">IFERROR(IF($L72="","",INDEX(Ledger!$G$6:$G$205,$L72)),"—")</f>
        <v>0</v>
      </c>
      <c r="I73" s="1" t="str">
        <f aca="false">IFERROR(IF($L72="","",INDEX(Ledger!$H$6:$H$205,$L72)),"—")</f>
        <v/>
      </c>
      <c r="J73" s="4"/>
      <c r="K73" s="4"/>
      <c r="L73" s="133" t="n">
        <f aca="false">IFERROR(SMALL(IF((Ledger!$D$6:$D$205=$C$4)*IF($C$5="All Years",1,YEAR(Ledger!$A$6:$A$205)=IF($C$5="All Years",0,VALUE($C$5))),ROW(Ledger!$D$6:$D$205)-ROW(Ledger!$D$6)+1),33),"")</f>
        <v>33</v>
      </c>
      <c r="M73" s="4"/>
    </row>
    <row r="74" customFormat="false" ht="19.5" hidden="false" customHeight="true" outlineLevel="0" collapsed="false">
      <c r="A74" s="1" t="n">
        <f aca="false">IF($L73="","",33)</f>
        <v>33</v>
      </c>
      <c r="B74" s="142" t="n">
        <f aca="false">IFERROR(IF($L73="","",INDEX(Ledger!$A$6:$A$205,$L73)),"—")</f>
        <v>0</v>
      </c>
      <c r="C74" s="1" t="n">
        <f aca="false">IFERROR(IF($L73="","",INDEX(Ledger!$B$6:$B$205,$L73)),"—")</f>
        <v>0</v>
      </c>
      <c r="D74" s="1" t="n">
        <f aca="false">IFERROR(IF($L73="","",INDEX(Ledger!$C$6:$C$205,$L73)),"—")</f>
        <v>0</v>
      </c>
      <c r="E74" s="1" t="n">
        <f aca="false">IFERROR(IF($L73="","",INDEX(Ledger!$D$6:$D$205,$L73)),"—")</f>
        <v>0</v>
      </c>
      <c r="F74" s="1" t="n">
        <f aca="false">IFERROR(IF($L73="","",INDEX(Ledger!$E$6:$E$205,$L73)),"—")</f>
        <v>0</v>
      </c>
      <c r="G74" s="143" t="n">
        <f aca="false">IFERROR(IF($L73="","",INDEX(Ledger!$F$6:$F$205,$L73)),"—")</f>
        <v>0</v>
      </c>
      <c r="H74" s="143" t="n">
        <f aca="false">IFERROR(IF($L73="","",INDEX(Ledger!$G$6:$G$205,$L73)),"—")</f>
        <v>0</v>
      </c>
      <c r="I74" s="1" t="str">
        <f aca="false">IFERROR(IF($L73="","",INDEX(Ledger!$H$6:$H$205,$L73)),"—")</f>
        <v/>
      </c>
      <c r="J74" s="4"/>
      <c r="K74" s="4"/>
      <c r="L74" s="133" t="n">
        <f aca="false">IFERROR(SMALL(IF((Ledger!$D$6:$D$205=$C$4)*IF($C$5="All Years",1,YEAR(Ledger!$A$6:$A$205)=IF($C$5="All Years",0,VALUE($C$5))),ROW(Ledger!$D$6:$D$205)-ROW(Ledger!$D$6)+1),34),"")</f>
        <v>34</v>
      </c>
      <c r="M74" s="4"/>
    </row>
    <row r="75" customFormat="false" ht="19.5" hidden="false" customHeight="true" outlineLevel="0" collapsed="false">
      <c r="A75" s="1" t="n">
        <f aca="false">IF($L74="","",34)</f>
        <v>34</v>
      </c>
      <c r="B75" s="142" t="n">
        <f aca="false">IFERROR(IF($L74="","",INDEX(Ledger!$A$6:$A$205,$L74)),"—")</f>
        <v>0</v>
      </c>
      <c r="C75" s="1" t="n">
        <f aca="false">IFERROR(IF($L74="","",INDEX(Ledger!$B$6:$B$205,$L74)),"—")</f>
        <v>0</v>
      </c>
      <c r="D75" s="1" t="n">
        <f aca="false">IFERROR(IF($L74="","",INDEX(Ledger!$C$6:$C$205,$L74)),"—")</f>
        <v>0</v>
      </c>
      <c r="E75" s="1" t="n">
        <f aca="false">IFERROR(IF($L74="","",INDEX(Ledger!$D$6:$D$205,$L74)),"—")</f>
        <v>0</v>
      </c>
      <c r="F75" s="1" t="n">
        <f aca="false">IFERROR(IF($L74="","",INDEX(Ledger!$E$6:$E$205,$L74)),"—")</f>
        <v>0</v>
      </c>
      <c r="G75" s="143" t="n">
        <f aca="false">IFERROR(IF($L74="","",INDEX(Ledger!$F$6:$F$205,$L74)),"—")</f>
        <v>0</v>
      </c>
      <c r="H75" s="143" t="n">
        <f aca="false">IFERROR(IF($L74="","",INDEX(Ledger!$G$6:$G$205,$L74)),"—")</f>
        <v>0</v>
      </c>
      <c r="I75" s="1" t="str">
        <f aca="false">IFERROR(IF($L74="","",INDEX(Ledger!$H$6:$H$205,$L74)),"—")</f>
        <v/>
      </c>
      <c r="J75" s="4"/>
      <c r="K75" s="4"/>
      <c r="L75" s="133" t="n">
        <f aca="false">IFERROR(SMALL(IF((Ledger!$D$6:$D$205=$C$4)*IF($C$5="All Years",1,YEAR(Ledger!$A$6:$A$205)=IF($C$5="All Years",0,VALUE($C$5))),ROW(Ledger!$D$6:$D$205)-ROW(Ledger!$D$6)+1),35),"")</f>
        <v>35</v>
      </c>
      <c r="M75" s="4"/>
    </row>
    <row r="76" customFormat="false" ht="19.5" hidden="false" customHeight="true" outlineLevel="0" collapsed="false">
      <c r="A76" s="1" t="n">
        <f aca="false">IF($L75="","",35)</f>
        <v>35</v>
      </c>
      <c r="B76" s="142" t="n">
        <f aca="false">IFERROR(IF($L75="","",INDEX(Ledger!$A$6:$A$205,$L75)),"—")</f>
        <v>0</v>
      </c>
      <c r="C76" s="1" t="n">
        <f aca="false">IFERROR(IF($L75="","",INDEX(Ledger!$B$6:$B$205,$L75)),"—")</f>
        <v>0</v>
      </c>
      <c r="D76" s="1" t="n">
        <f aca="false">IFERROR(IF($L75="","",INDEX(Ledger!$C$6:$C$205,$L75)),"—")</f>
        <v>0</v>
      </c>
      <c r="E76" s="1" t="n">
        <f aca="false">IFERROR(IF($L75="","",INDEX(Ledger!$D$6:$D$205,$L75)),"—")</f>
        <v>0</v>
      </c>
      <c r="F76" s="1" t="n">
        <f aca="false">IFERROR(IF($L75="","",INDEX(Ledger!$E$6:$E$205,$L75)),"—")</f>
        <v>0</v>
      </c>
      <c r="G76" s="143" t="n">
        <f aca="false">IFERROR(IF($L75="","",INDEX(Ledger!$F$6:$F$205,$L75)),"—")</f>
        <v>0</v>
      </c>
      <c r="H76" s="143" t="n">
        <f aca="false">IFERROR(IF($L75="","",INDEX(Ledger!$G$6:$G$205,$L75)),"—")</f>
        <v>0</v>
      </c>
      <c r="I76" s="1" t="str">
        <f aca="false">IFERROR(IF($L75="","",INDEX(Ledger!$H$6:$H$205,$L75)),"—")</f>
        <v/>
      </c>
      <c r="J76" s="4"/>
      <c r="K76" s="4"/>
      <c r="L76" s="133" t="n">
        <f aca="false">IFERROR(SMALL(IF((Ledger!$D$6:$D$205=$C$4)*IF($C$5="All Years",1,YEAR(Ledger!$A$6:$A$205)=IF($C$5="All Years",0,VALUE($C$5))),ROW(Ledger!$D$6:$D$205)-ROW(Ledger!$D$6)+1),36),"")</f>
        <v>36</v>
      </c>
      <c r="M76" s="4"/>
    </row>
    <row r="77" customFormat="false" ht="19.5" hidden="false" customHeight="true" outlineLevel="0" collapsed="false">
      <c r="A77" s="1" t="n">
        <f aca="false">IF($L76="","",36)</f>
        <v>36</v>
      </c>
      <c r="B77" s="142" t="n">
        <f aca="false">IFERROR(IF($L76="","",INDEX(Ledger!$A$6:$A$205,$L76)),"—")</f>
        <v>0</v>
      </c>
      <c r="C77" s="1" t="n">
        <f aca="false">IFERROR(IF($L76="","",INDEX(Ledger!$B$6:$B$205,$L76)),"—")</f>
        <v>0</v>
      </c>
      <c r="D77" s="1" t="n">
        <f aca="false">IFERROR(IF($L76="","",INDEX(Ledger!$C$6:$C$205,$L76)),"—")</f>
        <v>0</v>
      </c>
      <c r="E77" s="1" t="n">
        <f aca="false">IFERROR(IF($L76="","",INDEX(Ledger!$D$6:$D$205,$L76)),"—")</f>
        <v>0</v>
      </c>
      <c r="F77" s="1" t="n">
        <f aca="false">IFERROR(IF($L76="","",INDEX(Ledger!$E$6:$E$205,$L76)),"—")</f>
        <v>0</v>
      </c>
      <c r="G77" s="143" t="n">
        <f aca="false">IFERROR(IF($L76="","",INDEX(Ledger!$F$6:$F$205,$L76)),"—")</f>
        <v>0</v>
      </c>
      <c r="H77" s="143" t="n">
        <f aca="false">IFERROR(IF($L76="","",INDEX(Ledger!$G$6:$G$205,$L76)),"—")</f>
        <v>0</v>
      </c>
      <c r="I77" s="1" t="str">
        <f aca="false">IFERROR(IF($L76="","",INDEX(Ledger!$H$6:$H$205,$L76)),"—")</f>
        <v/>
      </c>
      <c r="J77" s="4"/>
      <c r="K77" s="4"/>
      <c r="L77" s="133" t="n">
        <f aca="false">IFERROR(SMALL(IF((Ledger!$D$6:$D$205=$C$4)*IF($C$5="All Years",1,YEAR(Ledger!$A$6:$A$205)=IF($C$5="All Years",0,VALUE($C$5))),ROW(Ledger!$D$6:$D$205)-ROW(Ledger!$D$6)+1),37),"")</f>
        <v>37</v>
      </c>
      <c r="M77" s="4"/>
    </row>
    <row r="78" customFormat="false" ht="19.5" hidden="false" customHeight="true" outlineLevel="0" collapsed="false">
      <c r="A78" s="1" t="n">
        <f aca="false">IF($L77="","",37)</f>
        <v>37</v>
      </c>
      <c r="B78" s="142" t="n">
        <f aca="false">IFERROR(IF($L77="","",INDEX(Ledger!$A$6:$A$205,$L77)),"—")</f>
        <v>0</v>
      </c>
      <c r="C78" s="1" t="n">
        <f aca="false">IFERROR(IF($L77="","",INDEX(Ledger!$B$6:$B$205,$L77)),"—")</f>
        <v>0</v>
      </c>
      <c r="D78" s="1" t="n">
        <f aca="false">IFERROR(IF($L77="","",INDEX(Ledger!$C$6:$C$205,$L77)),"—")</f>
        <v>0</v>
      </c>
      <c r="E78" s="1" t="n">
        <f aca="false">IFERROR(IF($L77="","",INDEX(Ledger!$D$6:$D$205,$L77)),"—")</f>
        <v>0</v>
      </c>
      <c r="F78" s="1" t="n">
        <f aca="false">IFERROR(IF($L77="","",INDEX(Ledger!$E$6:$E$205,$L77)),"—")</f>
        <v>0</v>
      </c>
      <c r="G78" s="143" t="n">
        <f aca="false">IFERROR(IF($L77="","",INDEX(Ledger!$F$6:$F$205,$L77)),"—")</f>
        <v>0</v>
      </c>
      <c r="H78" s="143" t="n">
        <f aca="false">IFERROR(IF($L77="","",INDEX(Ledger!$G$6:$G$205,$L77)),"—")</f>
        <v>0</v>
      </c>
      <c r="I78" s="1" t="str">
        <f aca="false">IFERROR(IF($L77="","",INDEX(Ledger!$H$6:$H$205,$L77)),"—")</f>
        <v/>
      </c>
      <c r="J78" s="4"/>
      <c r="K78" s="4"/>
      <c r="L78" s="133" t="n">
        <f aca="false">IFERROR(SMALL(IF((Ledger!$D$6:$D$205=$C$4)*IF($C$5="All Years",1,YEAR(Ledger!$A$6:$A$205)=IF($C$5="All Years",0,VALUE($C$5))),ROW(Ledger!$D$6:$D$205)-ROW(Ledger!$D$6)+1),38),"")</f>
        <v>38</v>
      </c>
      <c r="M78" s="4"/>
    </row>
    <row r="79" customFormat="false" ht="19.5" hidden="false" customHeight="true" outlineLevel="0" collapsed="false">
      <c r="A79" s="1" t="n">
        <f aca="false">IF($L78="","",38)</f>
        <v>38</v>
      </c>
      <c r="B79" s="142" t="n">
        <f aca="false">IFERROR(IF($L78="","",INDEX(Ledger!$A$6:$A$205,$L78)),"—")</f>
        <v>0</v>
      </c>
      <c r="C79" s="1" t="n">
        <f aca="false">IFERROR(IF($L78="","",INDEX(Ledger!$B$6:$B$205,$L78)),"—")</f>
        <v>0</v>
      </c>
      <c r="D79" s="1" t="n">
        <f aca="false">IFERROR(IF($L78="","",INDEX(Ledger!$C$6:$C$205,$L78)),"—")</f>
        <v>0</v>
      </c>
      <c r="E79" s="1" t="n">
        <f aca="false">IFERROR(IF($L78="","",INDEX(Ledger!$D$6:$D$205,$L78)),"—")</f>
        <v>0</v>
      </c>
      <c r="F79" s="1" t="n">
        <f aca="false">IFERROR(IF($L78="","",INDEX(Ledger!$E$6:$E$205,$L78)),"—")</f>
        <v>0</v>
      </c>
      <c r="G79" s="143" t="n">
        <f aca="false">IFERROR(IF($L78="","",INDEX(Ledger!$F$6:$F$205,$L78)),"—")</f>
        <v>0</v>
      </c>
      <c r="H79" s="143" t="n">
        <f aca="false">IFERROR(IF($L78="","",INDEX(Ledger!$G$6:$G$205,$L78)),"—")</f>
        <v>0</v>
      </c>
      <c r="I79" s="1" t="str">
        <f aca="false">IFERROR(IF($L78="","",INDEX(Ledger!$H$6:$H$205,$L78)),"—")</f>
        <v/>
      </c>
      <c r="J79" s="4"/>
      <c r="K79" s="4"/>
      <c r="L79" s="133" t="n">
        <f aca="false">IFERROR(SMALL(IF((Ledger!$D$6:$D$205=$C$4)*IF($C$5="All Years",1,YEAR(Ledger!$A$6:$A$205)=IF($C$5="All Years",0,VALUE($C$5))),ROW(Ledger!$D$6:$D$205)-ROW(Ledger!$D$6)+1),39),"")</f>
        <v>39</v>
      </c>
      <c r="M79" s="4"/>
    </row>
    <row r="80" customFormat="false" ht="19.5" hidden="false" customHeight="true" outlineLevel="0" collapsed="false">
      <c r="A80" s="1" t="n">
        <f aca="false">IF($L79="","",39)</f>
        <v>39</v>
      </c>
      <c r="B80" s="142" t="n">
        <f aca="false">IFERROR(IF($L79="","",INDEX(Ledger!$A$6:$A$205,$L79)),"—")</f>
        <v>0</v>
      </c>
      <c r="C80" s="1" t="n">
        <f aca="false">IFERROR(IF($L79="","",INDEX(Ledger!$B$6:$B$205,$L79)),"—")</f>
        <v>0</v>
      </c>
      <c r="D80" s="1" t="n">
        <f aca="false">IFERROR(IF($L79="","",INDEX(Ledger!$C$6:$C$205,$L79)),"—")</f>
        <v>0</v>
      </c>
      <c r="E80" s="1" t="n">
        <f aca="false">IFERROR(IF($L79="","",INDEX(Ledger!$D$6:$D$205,$L79)),"—")</f>
        <v>0</v>
      </c>
      <c r="F80" s="1" t="n">
        <f aca="false">IFERROR(IF($L79="","",INDEX(Ledger!$E$6:$E$205,$L79)),"—")</f>
        <v>0</v>
      </c>
      <c r="G80" s="143" t="n">
        <f aca="false">IFERROR(IF($L79="","",INDEX(Ledger!$F$6:$F$205,$L79)),"—")</f>
        <v>0</v>
      </c>
      <c r="H80" s="143" t="n">
        <f aca="false">IFERROR(IF($L79="","",INDEX(Ledger!$G$6:$G$205,$L79)),"—")</f>
        <v>0</v>
      </c>
      <c r="I80" s="1" t="str">
        <f aca="false">IFERROR(IF($L79="","",INDEX(Ledger!$H$6:$H$205,$L79)),"—")</f>
        <v/>
      </c>
      <c r="J80" s="4"/>
      <c r="K80" s="4"/>
      <c r="L80" s="133" t="n">
        <f aca="false">IFERROR(SMALL(IF((Ledger!$D$6:$D$205=$C$4)*IF($C$5="All Years",1,YEAR(Ledger!$A$6:$A$205)=IF($C$5="All Years",0,VALUE($C$5))),ROW(Ledger!$D$6:$D$205)-ROW(Ledger!$D$6)+1),40),"")</f>
        <v>40</v>
      </c>
      <c r="M80" s="4"/>
    </row>
    <row r="81" customFormat="false" ht="19.5" hidden="false" customHeight="true" outlineLevel="0" collapsed="false">
      <c r="A81" s="1" t="n">
        <f aca="false">IF($L80="","",40)</f>
        <v>40</v>
      </c>
      <c r="B81" s="142" t="n">
        <f aca="false">IFERROR(IF($L80="","",INDEX(Ledger!$A$6:$A$205,$L80)),"—")</f>
        <v>0</v>
      </c>
      <c r="C81" s="1" t="n">
        <f aca="false">IFERROR(IF($L80="","",INDEX(Ledger!$B$6:$B$205,$L80)),"—")</f>
        <v>0</v>
      </c>
      <c r="D81" s="1" t="n">
        <f aca="false">IFERROR(IF($L80="","",INDEX(Ledger!$C$6:$C$205,$L80)),"—")</f>
        <v>0</v>
      </c>
      <c r="E81" s="1" t="n">
        <f aca="false">IFERROR(IF($L80="","",INDEX(Ledger!$D$6:$D$205,$L80)),"—")</f>
        <v>0</v>
      </c>
      <c r="F81" s="1" t="n">
        <f aca="false">IFERROR(IF($L80="","",INDEX(Ledger!$E$6:$E$205,$L80)),"—")</f>
        <v>0</v>
      </c>
      <c r="G81" s="143" t="n">
        <f aca="false">IFERROR(IF($L80="","",INDEX(Ledger!$F$6:$F$205,$L80)),"—")</f>
        <v>0</v>
      </c>
      <c r="H81" s="143" t="n">
        <f aca="false">IFERROR(IF($L80="","",INDEX(Ledger!$G$6:$G$205,$L80)),"—")</f>
        <v>0</v>
      </c>
      <c r="I81" s="1" t="str">
        <f aca="false">IFERROR(IF($L80="","",INDEX(Ledger!$H$6:$H$205,$L80)),"—")</f>
        <v/>
      </c>
      <c r="J81" s="4"/>
      <c r="K81" s="4"/>
      <c r="L81" s="133" t="n">
        <f aca="false">IFERROR(SMALL(IF((Ledger!$D$6:$D$205=$C$4)*IF($C$5="All Years",1,YEAR(Ledger!$A$6:$A$205)=IF($C$5="All Years",0,VALUE($C$5))),ROW(Ledger!$D$6:$D$205)-ROW(Ledger!$D$6)+1),41),"")</f>
        <v>41</v>
      </c>
      <c r="M81" s="4"/>
    </row>
    <row r="82" customFormat="false" ht="19.5" hidden="false" customHeight="true" outlineLevel="0" collapsed="false">
      <c r="A82" s="1" t="n">
        <f aca="false">IF($L81="","",41)</f>
        <v>41</v>
      </c>
      <c r="B82" s="142" t="n">
        <f aca="false">IFERROR(IF($L81="","",INDEX(Ledger!$A$6:$A$205,$L81)),"—")</f>
        <v>0</v>
      </c>
      <c r="C82" s="1" t="n">
        <f aca="false">IFERROR(IF($L81="","",INDEX(Ledger!$B$6:$B$205,$L81)),"—")</f>
        <v>0</v>
      </c>
      <c r="D82" s="1" t="n">
        <f aca="false">IFERROR(IF($L81="","",INDEX(Ledger!$C$6:$C$205,$L81)),"—")</f>
        <v>0</v>
      </c>
      <c r="E82" s="1" t="n">
        <f aca="false">IFERROR(IF($L81="","",INDEX(Ledger!$D$6:$D$205,$L81)),"—")</f>
        <v>0</v>
      </c>
      <c r="F82" s="1" t="n">
        <f aca="false">IFERROR(IF($L81="","",INDEX(Ledger!$E$6:$E$205,$L81)),"—")</f>
        <v>0</v>
      </c>
      <c r="G82" s="143" t="n">
        <f aca="false">IFERROR(IF($L81="","",INDEX(Ledger!$F$6:$F$205,$L81)),"—")</f>
        <v>0</v>
      </c>
      <c r="H82" s="143" t="n">
        <f aca="false">IFERROR(IF($L81="","",INDEX(Ledger!$G$6:$G$205,$L81)),"—")</f>
        <v>0</v>
      </c>
      <c r="I82" s="1" t="str">
        <f aca="false">IFERROR(IF($L81="","",INDEX(Ledger!$H$6:$H$205,$L81)),"—")</f>
        <v/>
      </c>
      <c r="J82" s="4"/>
      <c r="K82" s="4"/>
      <c r="L82" s="133" t="n">
        <f aca="false">IFERROR(SMALL(IF((Ledger!$D$6:$D$205=$C$4)*IF($C$5="All Years",1,YEAR(Ledger!$A$6:$A$205)=IF($C$5="All Years",0,VALUE($C$5))),ROW(Ledger!$D$6:$D$205)-ROW(Ledger!$D$6)+1),42),"")</f>
        <v>42</v>
      </c>
      <c r="M82" s="4"/>
    </row>
    <row r="83" customFormat="false" ht="19.5" hidden="false" customHeight="true" outlineLevel="0" collapsed="false">
      <c r="A83" s="1" t="n">
        <f aca="false">IF($L82="","",42)</f>
        <v>42</v>
      </c>
      <c r="B83" s="142" t="n">
        <f aca="false">IFERROR(IF($L82="","",INDEX(Ledger!$A$6:$A$205,$L82)),"—")</f>
        <v>0</v>
      </c>
      <c r="C83" s="1" t="n">
        <f aca="false">IFERROR(IF($L82="","",INDEX(Ledger!$B$6:$B$205,$L82)),"—")</f>
        <v>0</v>
      </c>
      <c r="D83" s="1" t="n">
        <f aca="false">IFERROR(IF($L82="","",INDEX(Ledger!$C$6:$C$205,$L82)),"—")</f>
        <v>0</v>
      </c>
      <c r="E83" s="1" t="n">
        <f aca="false">IFERROR(IF($L82="","",INDEX(Ledger!$D$6:$D$205,$L82)),"—")</f>
        <v>0</v>
      </c>
      <c r="F83" s="1" t="n">
        <f aca="false">IFERROR(IF($L82="","",INDEX(Ledger!$E$6:$E$205,$L82)),"—")</f>
        <v>0</v>
      </c>
      <c r="G83" s="143" t="n">
        <f aca="false">IFERROR(IF($L82="","",INDEX(Ledger!$F$6:$F$205,$L82)),"—")</f>
        <v>0</v>
      </c>
      <c r="H83" s="143" t="n">
        <f aca="false">IFERROR(IF($L82="","",INDEX(Ledger!$G$6:$G$205,$L82)),"—")</f>
        <v>0</v>
      </c>
      <c r="I83" s="1" t="str">
        <f aca="false">IFERROR(IF($L82="","",INDEX(Ledger!$H$6:$H$205,$L82)),"—")</f>
        <v/>
      </c>
      <c r="J83" s="4"/>
      <c r="K83" s="4"/>
      <c r="L83" s="133" t="n">
        <f aca="false">IFERROR(SMALL(IF((Ledger!$D$6:$D$205=$C$4)*IF($C$5="All Years",1,YEAR(Ledger!$A$6:$A$205)=IF($C$5="All Years",0,VALUE($C$5))),ROW(Ledger!$D$6:$D$205)-ROW(Ledger!$D$6)+1),43),"")</f>
        <v>43</v>
      </c>
      <c r="M83" s="4"/>
    </row>
    <row r="84" customFormat="false" ht="19.5" hidden="false" customHeight="true" outlineLevel="0" collapsed="false">
      <c r="A84" s="1" t="n">
        <f aca="false">IF($L83="","",43)</f>
        <v>43</v>
      </c>
      <c r="B84" s="142" t="n">
        <f aca="false">IFERROR(IF($L83="","",INDEX(Ledger!$A$6:$A$205,$L83)),"—")</f>
        <v>0</v>
      </c>
      <c r="C84" s="1" t="n">
        <f aca="false">IFERROR(IF($L83="","",INDEX(Ledger!$B$6:$B$205,$L83)),"—")</f>
        <v>0</v>
      </c>
      <c r="D84" s="1" t="n">
        <f aca="false">IFERROR(IF($L83="","",INDEX(Ledger!$C$6:$C$205,$L83)),"—")</f>
        <v>0</v>
      </c>
      <c r="E84" s="1" t="n">
        <f aca="false">IFERROR(IF($L83="","",INDEX(Ledger!$D$6:$D$205,$L83)),"—")</f>
        <v>0</v>
      </c>
      <c r="F84" s="1" t="n">
        <f aca="false">IFERROR(IF($L83="","",INDEX(Ledger!$E$6:$E$205,$L83)),"—")</f>
        <v>0</v>
      </c>
      <c r="G84" s="143" t="n">
        <f aca="false">IFERROR(IF($L83="","",INDEX(Ledger!$F$6:$F$205,$L83)),"—")</f>
        <v>0</v>
      </c>
      <c r="H84" s="143" t="n">
        <f aca="false">IFERROR(IF($L83="","",INDEX(Ledger!$G$6:$G$205,$L83)),"—")</f>
        <v>0</v>
      </c>
      <c r="I84" s="1" t="str">
        <f aca="false">IFERROR(IF($L83="","",INDEX(Ledger!$H$6:$H$205,$L83)),"—")</f>
        <v/>
      </c>
      <c r="J84" s="4"/>
      <c r="K84" s="4"/>
      <c r="L84" s="133" t="n">
        <f aca="false">IFERROR(SMALL(IF((Ledger!$D$6:$D$205=$C$4)*IF($C$5="All Years",1,YEAR(Ledger!$A$6:$A$205)=IF($C$5="All Years",0,VALUE($C$5))),ROW(Ledger!$D$6:$D$205)-ROW(Ledger!$D$6)+1),44),"")</f>
        <v>44</v>
      </c>
      <c r="M84" s="4"/>
    </row>
    <row r="85" customFormat="false" ht="19.5" hidden="false" customHeight="true" outlineLevel="0" collapsed="false">
      <c r="A85" s="1" t="n">
        <f aca="false">IF($L84="","",44)</f>
        <v>44</v>
      </c>
      <c r="B85" s="142" t="n">
        <f aca="false">IFERROR(IF($L84="","",INDEX(Ledger!$A$6:$A$205,$L84)),"—")</f>
        <v>0</v>
      </c>
      <c r="C85" s="1" t="n">
        <f aca="false">IFERROR(IF($L84="","",INDEX(Ledger!$B$6:$B$205,$L84)),"—")</f>
        <v>0</v>
      </c>
      <c r="D85" s="1" t="n">
        <f aca="false">IFERROR(IF($L84="","",INDEX(Ledger!$C$6:$C$205,$L84)),"—")</f>
        <v>0</v>
      </c>
      <c r="E85" s="1" t="n">
        <f aca="false">IFERROR(IF($L84="","",INDEX(Ledger!$D$6:$D$205,$L84)),"—")</f>
        <v>0</v>
      </c>
      <c r="F85" s="1" t="n">
        <f aca="false">IFERROR(IF($L84="","",INDEX(Ledger!$E$6:$E$205,$L84)),"—")</f>
        <v>0</v>
      </c>
      <c r="G85" s="143" t="n">
        <f aca="false">IFERROR(IF($L84="","",INDEX(Ledger!$F$6:$F$205,$L84)),"—")</f>
        <v>0</v>
      </c>
      <c r="H85" s="143" t="n">
        <f aca="false">IFERROR(IF($L84="","",INDEX(Ledger!$G$6:$G$205,$L84)),"—")</f>
        <v>0</v>
      </c>
      <c r="I85" s="1" t="str">
        <f aca="false">IFERROR(IF($L84="","",INDEX(Ledger!$H$6:$H$205,$L84)),"—")</f>
        <v/>
      </c>
      <c r="J85" s="4"/>
      <c r="K85" s="4"/>
      <c r="L85" s="133" t="n">
        <f aca="false">IFERROR(SMALL(IF((Ledger!$D$6:$D$205=$C$4)*IF($C$5="All Years",1,YEAR(Ledger!$A$6:$A$205)=IF($C$5="All Years",0,VALUE($C$5))),ROW(Ledger!$D$6:$D$205)-ROW(Ledger!$D$6)+1),45),"")</f>
        <v>45</v>
      </c>
      <c r="M85" s="4"/>
    </row>
    <row r="86" customFormat="false" ht="19.5" hidden="false" customHeight="true" outlineLevel="0" collapsed="false">
      <c r="A86" s="1" t="n">
        <f aca="false">IF($L85="","",45)</f>
        <v>45</v>
      </c>
      <c r="B86" s="142" t="n">
        <f aca="false">IFERROR(IF($L85="","",INDEX(Ledger!$A$6:$A$205,$L85)),"—")</f>
        <v>0</v>
      </c>
      <c r="C86" s="1" t="n">
        <f aca="false">IFERROR(IF($L85="","",INDEX(Ledger!$B$6:$B$205,$L85)),"—")</f>
        <v>0</v>
      </c>
      <c r="D86" s="1" t="n">
        <f aca="false">IFERROR(IF($L85="","",INDEX(Ledger!$C$6:$C$205,$L85)),"—")</f>
        <v>0</v>
      </c>
      <c r="E86" s="1" t="n">
        <f aca="false">IFERROR(IF($L85="","",INDEX(Ledger!$D$6:$D$205,$L85)),"—")</f>
        <v>0</v>
      </c>
      <c r="F86" s="1" t="n">
        <f aca="false">IFERROR(IF($L85="","",INDEX(Ledger!$E$6:$E$205,$L85)),"—")</f>
        <v>0</v>
      </c>
      <c r="G86" s="143" t="n">
        <f aca="false">IFERROR(IF($L85="","",INDEX(Ledger!$F$6:$F$205,$L85)),"—")</f>
        <v>0</v>
      </c>
      <c r="H86" s="143" t="n">
        <f aca="false">IFERROR(IF($L85="","",INDEX(Ledger!$G$6:$G$205,$L85)),"—")</f>
        <v>0</v>
      </c>
      <c r="I86" s="1" t="str">
        <f aca="false">IFERROR(IF($L85="","",INDEX(Ledger!$H$6:$H$205,$L85)),"—")</f>
        <v/>
      </c>
      <c r="J86" s="4"/>
      <c r="K86" s="4"/>
      <c r="L86" s="133" t="n">
        <f aca="false">IFERROR(SMALL(IF((Ledger!$D$6:$D$205=$C$4)*IF($C$5="All Years",1,YEAR(Ledger!$A$6:$A$205)=IF($C$5="All Years",0,VALUE($C$5))),ROW(Ledger!$D$6:$D$205)-ROW(Ledger!$D$6)+1),46),"")</f>
        <v>46</v>
      </c>
      <c r="M86" s="4"/>
    </row>
    <row r="87" customFormat="false" ht="19.5" hidden="false" customHeight="true" outlineLevel="0" collapsed="false">
      <c r="A87" s="1" t="n">
        <f aca="false">IF($L86="","",46)</f>
        <v>46</v>
      </c>
      <c r="B87" s="142" t="n">
        <f aca="false">IFERROR(IF($L86="","",INDEX(Ledger!$A$6:$A$205,$L86)),"—")</f>
        <v>0</v>
      </c>
      <c r="C87" s="1" t="n">
        <f aca="false">IFERROR(IF($L86="","",INDEX(Ledger!$B$6:$B$205,$L86)),"—")</f>
        <v>0</v>
      </c>
      <c r="D87" s="1" t="n">
        <f aca="false">IFERROR(IF($L86="","",INDEX(Ledger!$C$6:$C$205,$L86)),"—")</f>
        <v>0</v>
      </c>
      <c r="E87" s="1" t="n">
        <f aca="false">IFERROR(IF($L86="","",INDEX(Ledger!$D$6:$D$205,$L86)),"—")</f>
        <v>0</v>
      </c>
      <c r="F87" s="1" t="n">
        <f aca="false">IFERROR(IF($L86="","",INDEX(Ledger!$E$6:$E$205,$L86)),"—")</f>
        <v>0</v>
      </c>
      <c r="G87" s="143" t="n">
        <f aca="false">IFERROR(IF($L86="","",INDEX(Ledger!$F$6:$F$205,$L86)),"—")</f>
        <v>0</v>
      </c>
      <c r="H87" s="143" t="n">
        <f aca="false">IFERROR(IF($L86="","",INDEX(Ledger!$G$6:$G$205,$L86)),"—")</f>
        <v>0</v>
      </c>
      <c r="I87" s="1" t="str">
        <f aca="false">IFERROR(IF($L86="","",INDEX(Ledger!$H$6:$H$205,$L86)),"—")</f>
        <v/>
      </c>
      <c r="J87" s="4"/>
      <c r="K87" s="4"/>
      <c r="L87" s="133" t="n">
        <f aca="false">IFERROR(SMALL(IF((Ledger!$D$6:$D$205=$C$4)*IF($C$5="All Years",1,YEAR(Ledger!$A$6:$A$205)=IF($C$5="All Years",0,VALUE($C$5))),ROW(Ledger!$D$6:$D$205)-ROW(Ledger!$D$6)+1),47),"")</f>
        <v>47</v>
      </c>
      <c r="M87" s="4"/>
    </row>
    <row r="88" customFormat="false" ht="19.5" hidden="false" customHeight="true" outlineLevel="0" collapsed="false">
      <c r="A88" s="1" t="n">
        <f aca="false">IF($L87="","",47)</f>
        <v>47</v>
      </c>
      <c r="B88" s="142" t="n">
        <f aca="false">IFERROR(IF($L87="","",INDEX(Ledger!$A$6:$A$205,$L87)),"—")</f>
        <v>0</v>
      </c>
      <c r="C88" s="1" t="n">
        <f aca="false">IFERROR(IF($L87="","",INDEX(Ledger!$B$6:$B$205,$L87)),"—")</f>
        <v>0</v>
      </c>
      <c r="D88" s="1" t="n">
        <f aca="false">IFERROR(IF($L87="","",INDEX(Ledger!$C$6:$C$205,$L87)),"—")</f>
        <v>0</v>
      </c>
      <c r="E88" s="1" t="n">
        <f aca="false">IFERROR(IF($L87="","",INDEX(Ledger!$D$6:$D$205,$L87)),"—")</f>
        <v>0</v>
      </c>
      <c r="F88" s="1" t="n">
        <f aca="false">IFERROR(IF($L87="","",INDEX(Ledger!$E$6:$E$205,$L87)),"—")</f>
        <v>0</v>
      </c>
      <c r="G88" s="143" t="n">
        <f aca="false">IFERROR(IF($L87="","",INDEX(Ledger!$F$6:$F$205,$L87)),"—")</f>
        <v>0</v>
      </c>
      <c r="H88" s="143" t="n">
        <f aca="false">IFERROR(IF($L87="","",INDEX(Ledger!$G$6:$G$205,$L87)),"—")</f>
        <v>0</v>
      </c>
      <c r="I88" s="1" t="str">
        <f aca="false">IFERROR(IF($L87="","",INDEX(Ledger!$H$6:$H$205,$L87)),"—")</f>
        <v/>
      </c>
      <c r="J88" s="4"/>
      <c r="K88" s="4"/>
      <c r="L88" s="133" t="n">
        <f aca="false">IFERROR(SMALL(IF((Ledger!$D$6:$D$205=$C$4)*IF($C$5="All Years",1,YEAR(Ledger!$A$6:$A$205)=IF($C$5="All Years",0,VALUE($C$5))),ROW(Ledger!$D$6:$D$205)-ROW(Ledger!$D$6)+1),48),"")</f>
        <v>48</v>
      </c>
      <c r="M88" s="4"/>
    </row>
    <row r="89" customFormat="false" ht="19.5" hidden="false" customHeight="true" outlineLevel="0" collapsed="false">
      <c r="A89" s="1" t="n">
        <f aca="false">IF($L88="","",48)</f>
        <v>48</v>
      </c>
      <c r="B89" s="142" t="n">
        <f aca="false">IFERROR(IF($L88="","",INDEX(Ledger!$A$6:$A$205,$L88)),"—")</f>
        <v>0</v>
      </c>
      <c r="C89" s="1" t="n">
        <f aca="false">IFERROR(IF($L88="","",INDEX(Ledger!$B$6:$B$205,$L88)),"—")</f>
        <v>0</v>
      </c>
      <c r="D89" s="1" t="n">
        <f aca="false">IFERROR(IF($L88="","",INDEX(Ledger!$C$6:$C$205,$L88)),"—")</f>
        <v>0</v>
      </c>
      <c r="E89" s="1" t="n">
        <f aca="false">IFERROR(IF($L88="","",INDEX(Ledger!$D$6:$D$205,$L88)),"—")</f>
        <v>0</v>
      </c>
      <c r="F89" s="1" t="n">
        <f aca="false">IFERROR(IF($L88="","",INDEX(Ledger!$E$6:$E$205,$L88)),"—")</f>
        <v>0</v>
      </c>
      <c r="G89" s="143" t="n">
        <f aca="false">IFERROR(IF($L88="","",INDEX(Ledger!$F$6:$F$205,$L88)),"—")</f>
        <v>0</v>
      </c>
      <c r="H89" s="143" t="n">
        <f aca="false">IFERROR(IF($L88="","",INDEX(Ledger!$G$6:$G$205,$L88)),"—")</f>
        <v>0</v>
      </c>
      <c r="I89" s="1" t="str">
        <f aca="false">IFERROR(IF($L88="","",INDEX(Ledger!$H$6:$H$205,$L88)),"—")</f>
        <v/>
      </c>
      <c r="J89" s="4"/>
      <c r="K89" s="4"/>
      <c r="L89" s="133" t="n">
        <f aca="false">IFERROR(SMALL(IF((Ledger!$D$6:$D$205=$C$4)*IF($C$5="All Years",1,YEAR(Ledger!$A$6:$A$205)=IF($C$5="All Years",0,VALUE($C$5))),ROW(Ledger!$D$6:$D$205)-ROW(Ledger!$D$6)+1),49),"")</f>
        <v>49</v>
      </c>
      <c r="M89" s="4"/>
    </row>
    <row r="90" customFormat="false" ht="19.5" hidden="false" customHeight="true" outlineLevel="0" collapsed="false">
      <c r="A90" s="1" t="n">
        <f aca="false">IF($L89="","",49)</f>
        <v>49</v>
      </c>
      <c r="B90" s="142" t="n">
        <f aca="false">IFERROR(IF($L89="","",INDEX(Ledger!$A$6:$A$205,$L89)),"—")</f>
        <v>0</v>
      </c>
      <c r="C90" s="1" t="n">
        <f aca="false">IFERROR(IF($L89="","",INDEX(Ledger!$B$6:$B$205,$L89)),"—")</f>
        <v>0</v>
      </c>
      <c r="D90" s="1" t="n">
        <f aca="false">IFERROR(IF($L89="","",INDEX(Ledger!$C$6:$C$205,$L89)),"—")</f>
        <v>0</v>
      </c>
      <c r="E90" s="1" t="n">
        <f aca="false">IFERROR(IF($L89="","",INDEX(Ledger!$D$6:$D$205,$L89)),"—")</f>
        <v>0</v>
      </c>
      <c r="F90" s="1" t="n">
        <f aca="false">IFERROR(IF($L89="","",INDEX(Ledger!$E$6:$E$205,$L89)),"—")</f>
        <v>0</v>
      </c>
      <c r="G90" s="143" t="n">
        <f aca="false">IFERROR(IF($L89="","",INDEX(Ledger!$F$6:$F$205,$L89)),"—")</f>
        <v>0</v>
      </c>
      <c r="H90" s="143" t="n">
        <f aca="false">IFERROR(IF($L89="","",INDEX(Ledger!$G$6:$G$205,$L89)),"—")</f>
        <v>0</v>
      </c>
      <c r="I90" s="1" t="str">
        <f aca="false">IFERROR(IF($L89="","",INDEX(Ledger!$H$6:$H$205,$L89)),"—")</f>
        <v/>
      </c>
      <c r="J90" s="4"/>
      <c r="K90" s="4"/>
      <c r="L90" s="133" t="n">
        <f aca="false">IFERROR(SMALL(IF((Ledger!$D$6:$D$205=$C$4)*IF($C$5="All Years",1,YEAR(Ledger!$A$6:$A$205)=IF($C$5="All Years",0,VALUE($C$5))),ROW(Ledger!$D$6:$D$205)-ROW(Ledger!$D$6)+1),50),"")</f>
        <v>50</v>
      </c>
      <c r="M90" s="4"/>
    </row>
    <row r="91" customFormat="false" ht="19.5" hidden="false" customHeight="true" outlineLevel="0" collapsed="false">
      <c r="A91" s="1" t="n">
        <f aca="false">IF($L90="","",50)</f>
        <v>50</v>
      </c>
      <c r="B91" s="142" t="n">
        <f aca="false">IFERROR(IF($L90="","",INDEX(Ledger!$A$6:$A$205,$L90)),"—")</f>
        <v>0</v>
      </c>
      <c r="C91" s="1" t="n">
        <f aca="false">IFERROR(IF($L90="","",INDEX(Ledger!$B$6:$B$205,$L90)),"—")</f>
        <v>0</v>
      </c>
      <c r="D91" s="1" t="n">
        <f aca="false">IFERROR(IF($L90="","",INDEX(Ledger!$C$6:$C$205,$L90)),"—")</f>
        <v>0</v>
      </c>
      <c r="E91" s="1" t="n">
        <f aca="false">IFERROR(IF($L90="","",INDEX(Ledger!$D$6:$D$205,$L90)),"—")</f>
        <v>0</v>
      </c>
      <c r="F91" s="1" t="n">
        <f aca="false">IFERROR(IF($L90="","",INDEX(Ledger!$E$6:$E$205,$L90)),"—")</f>
        <v>0</v>
      </c>
      <c r="G91" s="143" t="n">
        <f aca="false">IFERROR(IF($L90="","",INDEX(Ledger!$F$6:$F$205,$L90)),"—")</f>
        <v>0</v>
      </c>
      <c r="H91" s="143" t="n">
        <f aca="false">IFERROR(IF($L90="","",INDEX(Ledger!$G$6:$G$205,$L90)),"—")</f>
        <v>0</v>
      </c>
      <c r="I91" s="1" t="str">
        <f aca="false">IFERROR(IF($L90="","",INDEX(Ledger!$H$6:$H$205,$L90)),"—")</f>
        <v/>
      </c>
      <c r="J91" s="4"/>
      <c r="K91" s="4"/>
      <c r="L91" s="133" t="n">
        <f aca="false">IFERROR(SMALL(IF((Ledger!$D$6:$D$205=$C$4)*IF($C$5="All Years",1,YEAR(Ledger!$A$6:$A$205)=IF($C$5="All Years",0,VALUE($C$5))),ROW(Ledger!$D$6:$D$205)-ROW(Ledger!$D$6)+1),51),"")</f>
        <v>51</v>
      </c>
      <c r="M91" s="4"/>
    </row>
    <row r="92" customFormat="false" ht="19.5" hidden="false" customHeight="true" outlineLevel="0" collapsed="false">
      <c r="A92" s="1" t="n">
        <f aca="false">IF($L91="","",51)</f>
        <v>51</v>
      </c>
      <c r="B92" s="142" t="n">
        <f aca="false">IFERROR(IF($L91="","",INDEX(Ledger!$A$6:$A$205,$L91)),"—")</f>
        <v>0</v>
      </c>
      <c r="C92" s="1" t="n">
        <f aca="false">IFERROR(IF($L91="","",INDEX(Ledger!$B$6:$B$205,$L91)),"—")</f>
        <v>0</v>
      </c>
      <c r="D92" s="1" t="n">
        <f aca="false">IFERROR(IF($L91="","",INDEX(Ledger!$C$6:$C$205,$L91)),"—")</f>
        <v>0</v>
      </c>
      <c r="E92" s="1" t="n">
        <f aca="false">IFERROR(IF($L91="","",INDEX(Ledger!$D$6:$D$205,$L91)),"—")</f>
        <v>0</v>
      </c>
      <c r="F92" s="1" t="n">
        <f aca="false">IFERROR(IF($L91="","",INDEX(Ledger!$E$6:$E$205,$L91)),"—")</f>
        <v>0</v>
      </c>
      <c r="G92" s="143" t="n">
        <f aca="false">IFERROR(IF($L91="","",INDEX(Ledger!$F$6:$F$205,$L91)),"—")</f>
        <v>0</v>
      </c>
      <c r="H92" s="143" t="n">
        <f aca="false">IFERROR(IF($L91="","",INDEX(Ledger!$G$6:$G$205,$L91)),"—")</f>
        <v>0</v>
      </c>
      <c r="I92" s="1" t="str">
        <f aca="false">IFERROR(IF($L91="","",INDEX(Ledger!$H$6:$H$205,$L91)),"—")</f>
        <v/>
      </c>
      <c r="J92" s="4"/>
      <c r="K92" s="4"/>
      <c r="L92" s="133" t="n">
        <f aca="false">IFERROR(SMALL(IF((Ledger!$D$6:$D$205=$C$4)*IF($C$5="All Years",1,YEAR(Ledger!$A$6:$A$205)=IF($C$5="All Years",0,VALUE($C$5))),ROW(Ledger!$D$6:$D$205)-ROW(Ledger!$D$6)+1),52),"")</f>
        <v>52</v>
      </c>
      <c r="M92" s="4"/>
    </row>
    <row r="93" customFormat="false" ht="19.5" hidden="false" customHeight="true" outlineLevel="0" collapsed="false">
      <c r="A93" s="1" t="n">
        <f aca="false">IF($L92="","",52)</f>
        <v>52</v>
      </c>
      <c r="B93" s="142" t="n">
        <f aca="false">IFERROR(IF($L92="","",INDEX(Ledger!$A$6:$A$205,$L92)),"—")</f>
        <v>0</v>
      </c>
      <c r="C93" s="1" t="n">
        <f aca="false">IFERROR(IF($L92="","",INDEX(Ledger!$B$6:$B$205,$L92)),"—")</f>
        <v>0</v>
      </c>
      <c r="D93" s="1" t="n">
        <f aca="false">IFERROR(IF($L92="","",INDEX(Ledger!$C$6:$C$205,$L92)),"—")</f>
        <v>0</v>
      </c>
      <c r="E93" s="1" t="n">
        <f aca="false">IFERROR(IF($L92="","",INDEX(Ledger!$D$6:$D$205,$L92)),"—")</f>
        <v>0</v>
      </c>
      <c r="F93" s="1" t="n">
        <f aca="false">IFERROR(IF($L92="","",INDEX(Ledger!$E$6:$E$205,$L92)),"—")</f>
        <v>0</v>
      </c>
      <c r="G93" s="143" t="n">
        <f aca="false">IFERROR(IF($L92="","",INDEX(Ledger!$F$6:$F$205,$L92)),"—")</f>
        <v>0</v>
      </c>
      <c r="H93" s="143" t="n">
        <f aca="false">IFERROR(IF($L92="","",INDEX(Ledger!$G$6:$G$205,$L92)),"—")</f>
        <v>0</v>
      </c>
      <c r="I93" s="1" t="str">
        <f aca="false">IFERROR(IF($L92="","",INDEX(Ledger!$H$6:$H$205,$L92)),"—")</f>
        <v/>
      </c>
      <c r="J93" s="4"/>
      <c r="K93" s="4"/>
      <c r="L93" s="133" t="n">
        <f aca="false">IFERROR(SMALL(IF((Ledger!$D$6:$D$205=$C$4)*IF($C$5="All Years",1,YEAR(Ledger!$A$6:$A$205)=IF($C$5="All Years",0,VALUE($C$5))),ROW(Ledger!$D$6:$D$205)-ROW(Ledger!$D$6)+1),53),"")</f>
        <v>53</v>
      </c>
      <c r="M93" s="4"/>
    </row>
    <row r="94" customFormat="false" ht="19.5" hidden="false" customHeight="true" outlineLevel="0" collapsed="false">
      <c r="A94" s="1" t="n">
        <f aca="false">IF($L93="","",53)</f>
        <v>53</v>
      </c>
      <c r="B94" s="142" t="n">
        <f aca="false">IFERROR(IF($L93="","",INDEX(Ledger!$A$6:$A$205,$L93)),"—")</f>
        <v>0</v>
      </c>
      <c r="C94" s="1" t="n">
        <f aca="false">IFERROR(IF($L93="","",INDEX(Ledger!$B$6:$B$205,$L93)),"—")</f>
        <v>0</v>
      </c>
      <c r="D94" s="1" t="n">
        <f aca="false">IFERROR(IF($L93="","",INDEX(Ledger!$C$6:$C$205,$L93)),"—")</f>
        <v>0</v>
      </c>
      <c r="E94" s="1" t="n">
        <f aca="false">IFERROR(IF($L93="","",INDEX(Ledger!$D$6:$D$205,$L93)),"—")</f>
        <v>0</v>
      </c>
      <c r="F94" s="1" t="n">
        <f aca="false">IFERROR(IF($L93="","",INDEX(Ledger!$E$6:$E$205,$L93)),"—")</f>
        <v>0</v>
      </c>
      <c r="G94" s="143" t="n">
        <f aca="false">IFERROR(IF($L93="","",INDEX(Ledger!$F$6:$F$205,$L93)),"—")</f>
        <v>0</v>
      </c>
      <c r="H94" s="143" t="n">
        <f aca="false">IFERROR(IF($L93="","",INDEX(Ledger!$G$6:$G$205,$L93)),"—")</f>
        <v>0</v>
      </c>
      <c r="I94" s="1" t="str">
        <f aca="false">IFERROR(IF($L93="","",INDEX(Ledger!$H$6:$H$205,$L93)),"—")</f>
        <v/>
      </c>
      <c r="J94" s="4"/>
      <c r="K94" s="4"/>
      <c r="L94" s="133" t="n">
        <f aca="false">IFERROR(SMALL(IF((Ledger!$D$6:$D$205=$C$4)*IF($C$5="All Years",1,YEAR(Ledger!$A$6:$A$205)=IF($C$5="All Years",0,VALUE($C$5))),ROW(Ledger!$D$6:$D$205)-ROW(Ledger!$D$6)+1),54),"")</f>
        <v>54</v>
      </c>
      <c r="M94" s="4"/>
    </row>
    <row r="95" customFormat="false" ht="19.5" hidden="false" customHeight="true" outlineLevel="0" collapsed="false">
      <c r="A95" s="1" t="n">
        <f aca="false">IF($L94="","",54)</f>
        <v>54</v>
      </c>
      <c r="B95" s="142" t="n">
        <f aca="false">IFERROR(IF($L94="","",INDEX(Ledger!$A$6:$A$205,$L94)),"—")</f>
        <v>0</v>
      </c>
      <c r="C95" s="1" t="n">
        <f aca="false">IFERROR(IF($L94="","",INDEX(Ledger!$B$6:$B$205,$L94)),"—")</f>
        <v>0</v>
      </c>
      <c r="D95" s="1" t="n">
        <f aca="false">IFERROR(IF($L94="","",INDEX(Ledger!$C$6:$C$205,$L94)),"—")</f>
        <v>0</v>
      </c>
      <c r="E95" s="1" t="n">
        <f aca="false">IFERROR(IF($L94="","",INDEX(Ledger!$D$6:$D$205,$L94)),"—")</f>
        <v>0</v>
      </c>
      <c r="F95" s="1" t="n">
        <f aca="false">IFERROR(IF($L94="","",INDEX(Ledger!$E$6:$E$205,$L94)),"—")</f>
        <v>0</v>
      </c>
      <c r="G95" s="143" t="n">
        <f aca="false">IFERROR(IF($L94="","",INDEX(Ledger!$F$6:$F$205,$L94)),"—")</f>
        <v>0</v>
      </c>
      <c r="H95" s="143" t="n">
        <f aca="false">IFERROR(IF($L94="","",INDEX(Ledger!$G$6:$G$205,$L94)),"—")</f>
        <v>0</v>
      </c>
      <c r="I95" s="1" t="str">
        <f aca="false">IFERROR(IF($L94="","",INDEX(Ledger!$H$6:$H$205,$L94)),"—")</f>
        <v/>
      </c>
      <c r="J95" s="4"/>
      <c r="K95" s="4"/>
      <c r="L95" s="133" t="n">
        <f aca="false">IFERROR(SMALL(IF((Ledger!$D$6:$D$205=$C$4)*IF($C$5="All Years",1,YEAR(Ledger!$A$6:$A$205)=IF($C$5="All Years",0,VALUE($C$5))),ROW(Ledger!$D$6:$D$205)-ROW(Ledger!$D$6)+1),55),"")</f>
        <v>55</v>
      </c>
      <c r="M95" s="4"/>
    </row>
    <row r="96" customFormat="false" ht="19.5" hidden="false" customHeight="true" outlineLevel="0" collapsed="false">
      <c r="A96" s="1" t="n">
        <f aca="false">IF($L95="","",55)</f>
        <v>55</v>
      </c>
      <c r="B96" s="142" t="n">
        <f aca="false">IFERROR(IF($L95="","",INDEX(Ledger!$A$6:$A$205,$L95)),"—")</f>
        <v>0</v>
      </c>
      <c r="C96" s="1" t="n">
        <f aca="false">IFERROR(IF($L95="","",INDEX(Ledger!$B$6:$B$205,$L95)),"—")</f>
        <v>0</v>
      </c>
      <c r="D96" s="1" t="n">
        <f aca="false">IFERROR(IF($L95="","",INDEX(Ledger!$C$6:$C$205,$L95)),"—")</f>
        <v>0</v>
      </c>
      <c r="E96" s="1" t="n">
        <f aca="false">IFERROR(IF($L95="","",INDEX(Ledger!$D$6:$D$205,$L95)),"—")</f>
        <v>0</v>
      </c>
      <c r="F96" s="1" t="n">
        <f aca="false">IFERROR(IF($L95="","",INDEX(Ledger!$E$6:$E$205,$L95)),"—")</f>
        <v>0</v>
      </c>
      <c r="G96" s="143" t="n">
        <f aca="false">IFERROR(IF($L95="","",INDEX(Ledger!$F$6:$F$205,$L95)),"—")</f>
        <v>0</v>
      </c>
      <c r="H96" s="143" t="n">
        <f aca="false">IFERROR(IF($L95="","",INDEX(Ledger!$G$6:$G$205,$L95)),"—")</f>
        <v>0</v>
      </c>
      <c r="I96" s="1" t="str">
        <f aca="false">IFERROR(IF($L95="","",INDEX(Ledger!$H$6:$H$205,$L95)),"—")</f>
        <v/>
      </c>
      <c r="J96" s="4"/>
      <c r="K96" s="4"/>
      <c r="L96" s="133" t="n">
        <f aca="false">IFERROR(SMALL(IF((Ledger!$D$6:$D$205=$C$4)*IF($C$5="All Years",1,YEAR(Ledger!$A$6:$A$205)=IF($C$5="All Years",0,VALUE($C$5))),ROW(Ledger!$D$6:$D$205)-ROW(Ledger!$D$6)+1),56),"")</f>
        <v>56</v>
      </c>
      <c r="M96" s="4"/>
    </row>
    <row r="97" customFormat="false" ht="19.5" hidden="false" customHeight="true" outlineLevel="0" collapsed="false">
      <c r="A97" s="1" t="n">
        <f aca="false">IF($L96="","",56)</f>
        <v>56</v>
      </c>
      <c r="B97" s="142" t="n">
        <f aca="false">IFERROR(IF($L96="","",INDEX(Ledger!$A$6:$A$205,$L96)),"—")</f>
        <v>0</v>
      </c>
      <c r="C97" s="1" t="n">
        <f aca="false">IFERROR(IF($L96="","",INDEX(Ledger!$B$6:$B$205,$L96)),"—")</f>
        <v>0</v>
      </c>
      <c r="D97" s="1" t="n">
        <f aca="false">IFERROR(IF($L96="","",INDEX(Ledger!$C$6:$C$205,$L96)),"—")</f>
        <v>0</v>
      </c>
      <c r="E97" s="1" t="n">
        <f aca="false">IFERROR(IF($L96="","",INDEX(Ledger!$D$6:$D$205,$L96)),"—")</f>
        <v>0</v>
      </c>
      <c r="F97" s="1" t="n">
        <f aca="false">IFERROR(IF($L96="","",INDEX(Ledger!$E$6:$E$205,$L96)),"—")</f>
        <v>0</v>
      </c>
      <c r="G97" s="143" t="n">
        <f aca="false">IFERROR(IF($L96="","",INDEX(Ledger!$F$6:$F$205,$L96)),"—")</f>
        <v>0</v>
      </c>
      <c r="H97" s="143" t="n">
        <f aca="false">IFERROR(IF($L96="","",INDEX(Ledger!$G$6:$G$205,$L96)),"—")</f>
        <v>0</v>
      </c>
      <c r="I97" s="1" t="str">
        <f aca="false">IFERROR(IF($L96="","",INDEX(Ledger!$H$6:$H$205,$L96)),"—")</f>
        <v/>
      </c>
      <c r="J97" s="4"/>
      <c r="K97" s="4"/>
      <c r="L97" s="133" t="n">
        <f aca="false">IFERROR(SMALL(IF((Ledger!$D$6:$D$205=$C$4)*IF($C$5="All Years",1,YEAR(Ledger!$A$6:$A$205)=IF($C$5="All Years",0,VALUE($C$5))),ROW(Ledger!$D$6:$D$205)-ROW(Ledger!$D$6)+1),57),"")</f>
        <v>57</v>
      </c>
      <c r="M97" s="4"/>
    </row>
    <row r="98" customFormat="false" ht="19.5" hidden="false" customHeight="true" outlineLevel="0" collapsed="false">
      <c r="A98" s="1" t="n">
        <f aca="false">IF($L97="","",57)</f>
        <v>57</v>
      </c>
      <c r="B98" s="142" t="n">
        <f aca="false">IFERROR(IF($L97="","",INDEX(Ledger!$A$6:$A$205,$L97)),"—")</f>
        <v>0</v>
      </c>
      <c r="C98" s="1" t="n">
        <f aca="false">IFERROR(IF($L97="","",INDEX(Ledger!$B$6:$B$205,$L97)),"—")</f>
        <v>0</v>
      </c>
      <c r="D98" s="1" t="n">
        <f aca="false">IFERROR(IF($L97="","",INDEX(Ledger!$C$6:$C$205,$L97)),"—")</f>
        <v>0</v>
      </c>
      <c r="E98" s="1" t="n">
        <f aca="false">IFERROR(IF($L97="","",INDEX(Ledger!$D$6:$D$205,$L97)),"—")</f>
        <v>0</v>
      </c>
      <c r="F98" s="1" t="n">
        <f aca="false">IFERROR(IF($L97="","",INDEX(Ledger!$E$6:$E$205,$L97)),"—")</f>
        <v>0</v>
      </c>
      <c r="G98" s="143" t="n">
        <f aca="false">IFERROR(IF($L97="","",INDEX(Ledger!$F$6:$F$205,$L97)),"—")</f>
        <v>0</v>
      </c>
      <c r="H98" s="143" t="n">
        <f aca="false">IFERROR(IF($L97="","",INDEX(Ledger!$G$6:$G$205,$L97)),"—")</f>
        <v>0</v>
      </c>
      <c r="I98" s="1" t="str">
        <f aca="false">IFERROR(IF($L97="","",INDEX(Ledger!$H$6:$H$205,$L97)),"—")</f>
        <v/>
      </c>
      <c r="J98" s="4"/>
      <c r="K98" s="4"/>
      <c r="L98" s="133" t="n">
        <f aca="false">IFERROR(SMALL(IF((Ledger!$D$6:$D$205=$C$4)*IF($C$5="All Years",1,YEAR(Ledger!$A$6:$A$205)=IF($C$5="All Years",0,VALUE($C$5))),ROW(Ledger!$D$6:$D$205)-ROW(Ledger!$D$6)+1),58),"")</f>
        <v>58</v>
      </c>
      <c r="M98" s="4"/>
    </row>
    <row r="99" customFormat="false" ht="19.5" hidden="false" customHeight="true" outlineLevel="0" collapsed="false">
      <c r="A99" s="1" t="n">
        <f aca="false">IF($L98="","",58)</f>
        <v>58</v>
      </c>
      <c r="B99" s="142" t="n">
        <f aca="false">IFERROR(IF($L98="","",INDEX(Ledger!$A$6:$A$205,$L98)),"—")</f>
        <v>0</v>
      </c>
      <c r="C99" s="1" t="n">
        <f aca="false">IFERROR(IF($L98="","",INDEX(Ledger!$B$6:$B$205,$L98)),"—")</f>
        <v>0</v>
      </c>
      <c r="D99" s="1" t="n">
        <f aca="false">IFERROR(IF($L98="","",INDEX(Ledger!$C$6:$C$205,$L98)),"—")</f>
        <v>0</v>
      </c>
      <c r="E99" s="1" t="n">
        <f aca="false">IFERROR(IF($L98="","",INDEX(Ledger!$D$6:$D$205,$L98)),"—")</f>
        <v>0</v>
      </c>
      <c r="F99" s="1" t="n">
        <f aca="false">IFERROR(IF($L98="","",INDEX(Ledger!$E$6:$E$205,$L98)),"—")</f>
        <v>0</v>
      </c>
      <c r="G99" s="143" t="n">
        <f aca="false">IFERROR(IF($L98="","",INDEX(Ledger!$F$6:$F$205,$L98)),"—")</f>
        <v>0</v>
      </c>
      <c r="H99" s="143" t="n">
        <f aca="false">IFERROR(IF($L98="","",INDEX(Ledger!$G$6:$G$205,$L98)),"—")</f>
        <v>0</v>
      </c>
      <c r="I99" s="1" t="str">
        <f aca="false">IFERROR(IF($L98="","",INDEX(Ledger!$H$6:$H$205,$L98)),"—")</f>
        <v/>
      </c>
      <c r="J99" s="4"/>
      <c r="K99" s="4"/>
      <c r="L99" s="133" t="n">
        <f aca="false">IFERROR(SMALL(IF((Ledger!$D$6:$D$205=$C$4)*IF($C$5="All Years",1,YEAR(Ledger!$A$6:$A$205)=IF($C$5="All Years",0,VALUE($C$5))),ROW(Ledger!$D$6:$D$205)-ROW(Ledger!$D$6)+1),59),"")</f>
        <v>59</v>
      </c>
      <c r="M99" s="4"/>
    </row>
    <row r="100" customFormat="false" ht="19.5" hidden="false" customHeight="true" outlineLevel="0" collapsed="false">
      <c r="A100" s="1" t="n">
        <f aca="false">IF($L99="","",59)</f>
        <v>59</v>
      </c>
      <c r="B100" s="142" t="n">
        <f aca="false">IFERROR(IF($L99="","",INDEX(Ledger!$A$6:$A$205,$L99)),"—")</f>
        <v>0</v>
      </c>
      <c r="C100" s="1" t="n">
        <f aca="false">IFERROR(IF($L99="","",INDEX(Ledger!$B$6:$B$205,$L99)),"—")</f>
        <v>0</v>
      </c>
      <c r="D100" s="1" t="n">
        <f aca="false">IFERROR(IF($L99="","",INDEX(Ledger!$C$6:$C$205,$L99)),"—")</f>
        <v>0</v>
      </c>
      <c r="E100" s="1" t="n">
        <f aca="false">IFERROR(IF($L99="","",INDEX(Ledger!$D$6:$D$205,$L99)),"—")</f>
        <v>0</v>
      </c>
      <c r="F100" s="1" t="n">
        <f aca="false">IFERROR(IF($L99="","",INDEX(Ledger!$E$6:$E$205,$L99)),"—")</f>
        <v>0</v>
      </c>
      <c r="G100" s="143" t="n">
        <f aca="false">IFERROR(IF($L99="","",INDEX(Ledger!$F$6:$F$205,$L99)),"—")</f>
        <v>0</v>
      </c>
      <c r="H100" s="143" t="n">
        <f aca="false">IFERROR(IF($L99="","",INDEX(Ledger!$G$6:$G$205,$L99)),"—")</f>
        <v>0</v>
      </c>
      <c r="I100" s="1" t="str">
        <f aca="false">IFERROR(IF($L99="","",INDEX(Ledger!$H$6:$H$205,$L99)),"—")</f>
        <v/>
      </c>
      <c r="J100" s="4"/>
      <c r="K100" s="4"/>
      <c r="L100" s="133" t="n">
        <f aca="false">IFERROR(SMALL(IF((Ledger!$D$6:$D$205=$C$4)*IF($C$5="All Years",1,YEAR(Ledger!$A$6:$A$205)=IF($C$5="All Years",0,VALUE($C$5))),ROW(Ledger!$D$6:$D$205)-ROW(Ledger!$D$6)+1),60),"")</f>
        <v>60</v>
      </c>
      <c r="M100" s="4"/>
    </row>
    <row r="101" customFormat="false" ht="19.5" hidden="false" customHeight="true" outlineLevel="0" collapsed="false">
      <c r="A101" s="1" t="n">
        <f aca="false">IF($L100="","",60)</f>
        <v>60</v>
      </c>
      <c r="B101" s="142" t="n">
        <f aca="false">IFERROR(IF($L100="","",INDEX(Ledger!$A$6:$A$205,$L100)),"—")</f>
        <v>0</v>
      </c>
      <c r="C101" s="1" t="n">
        <f aca="false">IFERROR(IF($L100="","",INDEX(Ledger!$B$6:$B$205,$L100)),"—")</f>
        <v>0</v>
      </c>
      <c r="D101" s="1" t="n">
        <f aca="false">IFERROR(IF($L100="","",INDEX(Ledger!$C$6:$C$205,$L100)),"—")</f>
        <v>0</v>
      </c>
      <c r="E101" s="1" t="n">
        <f aca="false">IFERROR(IF($L100="","",INDEX(Ledger!$D$6:$D$205,$L100)),"—")</f>
        <v>0</v>
      </c>
      <c r="F101" s="1" t="n">
        <f aca="false">IFERROR(IF($L100="","",INDEX(Ledger!$E$6:$E$205,$L100)),"—")</f>
        <v>0</v>
      </c>
      <c r="G101" s="143" t="n">
        <f aca="false">IFERROR(IF($L100="","",INDEX(Ledger!$F$6:$F$205,$L100)),"—")</f>
        <v>0</v>
      </c>
      <c r="H101" s="143" t="n">
        <f aca="false">IFERROR(IF($L100="","",INDEX(Ledger!$G$6:$G$205,$L100)),"—")</f>
        <v>0</v>
      </c>
      <c r="I101" s="1" t="str">
        <f aca="false">IFERROR(IF($L100="","",INDEX(Ledger!$H$6:$H$205,$L100)),"—")</f>
        <v/>
      </c>
      <c r="J101" s="4"/>
      <c r="K101" s="4"/>
      <c r="L101" s="133" t="n">
        <f aca="false">IFERROR(SMALL(IF((Ledger!$D$6:$D$205=$C$4)*IF($C$5="All Years",1,YEAR(Ledger!$A$6:$A$205)=IF($C$5="All Years",0,VALUE($C$5))),ROW(Ledger!$D$6:$D$205)-ROW(Ledger!$D$6)+1),61),"")</f>
        <v>61</v>
      </c>
      <c r="M101" s="4"/>
    </row>
    <row r="102" customFormat="false" ht="19.5" hidden="false" customHeight="true" outlineLevel="0" collapsed="false">
      <c r="A102" s="1" t="n">
        <f aca="false">IF($L101="","",61)</f>
        <v>61</v>
      </c>
      <c r="B102" s="142" t="n">
        <f aca="false">IFERROR(IF($L101="","",INDEX(Ledger!$A$6:$A$205,$L101)),"—")</f>
        <v>0</v>
      </c>
      <c r="C102" s="1" t="n">
        <f aca="false">IFERROR(IF($L101="","",INDEX(Ledger!$B$6:$B$205,$L101)),"—")</f>
        <v>0</v>
      </c>
      <c r="D102" s="1" t="n">
        <f aca="false">IFERROR(IF($L101="","",INDEX(Ledger!$C$6:$C$205,$L101)),"—")</f>
        <v>0</v>
      </c>
      <c r="E102" s="1" t="n">
        <f aca="false">IFERROR(IF($L101="","",INDEX(Ledger!$D$6:$D$205,$L101)),"—")</f>
        <v>0</v>
      </c>
      <c r="F102" s="1" t="n">
        <f aca="false">IFERROR(IF($L101="","",INDEX(Ledger!$E$6:$E$205,$L101)),"—")</f>
        <v>0</v>
      </c>
      <c r="G102" s="143" t="n">
        <f aca="false">IFERROR(IF($L101="","",INDEX(Ledger!$F$6:$F$205,$L101)),"—")</f>
        <v>0</v>
      </c>
      <c r="H102" s="143" t="n">
        <f aca="false">IFERROR(IF($L101="","",INDEX(Ledger!$G$6:$G$205,$L101)),"—")</f>
        <v>0</v>
      </c>
      <c r="I102" s="1" t="str">
        <f aca="false">IFERROR(IF($L101="","",INDEX(Ledger!$H$6:$H$205,$L101)),"—")</f>
        <v/>
      </c>
      <c r="J102" s="4"/>
      <c r="K102" s="4"/>
      <c r="L102" s="133" t="n">
        <f aca="false">IFERROR(SMALL(IF((Ledger!$D$6:$D$205=$C$4)*IF($C$5="All Years",1,YEAR(Ledger!$A$6:$A$205)=IF($C$5="All Years",0,VALUE($C$5))),ROW(Ledger!$D$6:$D$205)-ROW(Ledger!$D$6)+1),62),"")</f>
        <v>62</v>
      </c>
      <c r="M102" s="4"/>
    </row>
    <row r="103" customFormat="false" ht="19.5" hidden="false" customHeight="true" outlineLevel="0" collapsed="false">
      <c r="A103" s="1" t="n">
        <f aca="false">IF($L102="","",62)</f>
        <v>62</v>
      </c>
      <c r="B103" s="142" t="n">
        <f aca="false">IFERROR(IF($L102="","",INDEX(Ledger!$A$6:$A$205,$L102)),"—")</f>
        <v>0</v>
      </c>
      <c r="C103" s="1" t="n">
        <f aca="false">IFERROR(IF($L102="","",INDEX(Ledger!$B$6:$B$205,$L102)),"—")</f>
        <v>0</v>
      </c>
      <c r="D103" s="1" t="n">
        <f aca="false">IFERROR(IF($L102="","",INDEX(Ledger!$C$6:$C$205,$L102)),"—")</f>
        <v>0</v>
      </c>
      <c r="E103" s="1" t="n">
        <f aca="false">IFERROR(IF($L102="","",INDEX(Ledger!$D$6:$D$205,$L102)),"—")</f>
        <v>0</v>
      </c>
      <c r="F103" s="1" t="n">
        <f aca="false">IFERROR(IF($L102="","",INDEX(Ledger!$E$6:$E$205,$L102)),"—")</f>
        <v>0</v>
      </c>
      <c r="G103" s="143" t="n">
        <f aca="false">IFERROR(IF($L102="","",INDEX(Ledger!$F$6:$F$205,$L102)),"—")</f>
        <v>0</v>
      </c>
      <c r="H103" s="143" t="n">
        <f aca="false">IFERROR(IF($L102="","",INDEX(Ledger!$G$6:$G$205,$L102)),"—")</f>
        <v>0</v>
      </c>
      <c r="I103" s="1" t="str">
        <f aca="false">IFERROR(IF($L102="","",INDEX(Ledger!$H$6:$H$205,$L102)),"—")</f>
        <v/>
      </c>
      <c r="J103" s="4"/>
      <c r="K103" s="4"/>
      <c r="L103" s="133" t="n">
        <f aca="false">IFERROR(SMALL(IF((Ledger!$D$6:$D$205=$C$4)*IF($C$5="All Years",1,YEAR(Ledger!$A$6:$A$205)=IF($C$5="All Years",0,VALUE($C$5))),ROW(Ledger!$D$6:$D$205)-ROW(Ledger!$D$6)+1),63),"")</f>
        <v>63</v>
      </c>
      <c r="M103" s="4"/>
    </row>
    <row r="104" customFormat="false" ht="19.5" hidden="false" customHeight="true" outlineLevel="0" collapsed="false">
      <c r="A104" s="1" t="n">
        <f aca="false">IF($L103="","",63)</f>
        <v>63</v>
      </c>
      <c r="B104" s="142" t="n">
        <f aca="false">IFERROR(IF($L103="","",INDEX(Ledger!$A$6:$A$205,$L103)),"—")</f>
        <v>0</v>
      </c>
      <c r="C104" s="1" t="n">
        <f aca="false">IFERROR(IF($L103="","",INDEX(Ledger!$B$6:$B$205,$L103)),"—")</f>
        <v>0</v>
      </c>
      <c r="D104" s="1" t="n">
        <f aca="false">IFERROR(IF($L103="","",INDEX(Ledger!$C$6:$C$205,$L103)),"—")</f>
        <v>0</v>
      </c>
      <c r="E104" s="1" t="n">
        <f aca="false">IFERROR(IF($L103="","",INDEX(Ledger!$D$6:$D$205,$L103)),"—")</f>
        <v>0</v>
      </c>
      <c r="F104" s="1" t="n">
        <f aca="false">IFERROR(IF($L103="","",INDEX(Ledger!$E$6:$E$205,$L103)),"—")</f>
        <v>0</v>
      </c>
      <c r="G104" s="143" t="n">
        <f aca="false">IFERROR(IF($L103="","",INDEX(Ledger!$F$6:$F$205,$L103)),"—")</f>
        <v>0</v>
      </c>
      <c r="H104" s="143" t="n">
        <f aca="false">IFERROR(IF($L103="","",INDEX(Ledger!$G$6:$G$205,$L103)),"—")</f>
        <v>0</v>
      </c>
      <c r="I104" s="1" t="str">
        <f aca="false">IFERROR(IF($L103="","",INDEX(Ledger!$H$6:$H$205,$L103)),"—")</f>
        <v/>
      </c>
      <c r="J104" s="4"/>
      <c r="K104" s="4"/>
      <c r="L104" s="133" t="n">
        <f aca="false">IFERROR(SMALL(IF((Ledger!$D$6:$D$205=$C$4)*IF($C$5="All Years",1,YEAR(Ledger!$A$6:$A$205)=IF($C$5="All Years",0,VALUE($C$5))),ROW(Ledger!$D$6:$D$205)-ROW(Ledger!$D$6)+1),64),"")</f>
        <v>64</v>
      </c>
      <c r="M104" s="4"/>
    </row>
    <row r="105" customFormat="false" ht="19.5" hidden="false" customHeight="true" outlineLevel="0" collapsed="false">
      <c r="A105" s="1" t="n">
        <f aca="false">IF($L104="","",64)</f>
        <v>64</v>
      </c>
      <c r="B105" s="142" t="n">
        <f aca="false">IFERROR(IF($L104="","",INDEX(Ledger!$A$6:$A$205,$L104)),"—")</f>
        <v>0</v>
      </c>
      <c r="C105" s="1" t="n">
        <f aca="false">IFERROR(IF($L104="","",INDEX(Ledger!$B$6:$B$205,$L104)),"—")</f>
        <v>0</v>
      </c>
      <c r="D105" s="1" t="n">
        <f aca="false">IFERROR(IF($L104="","",INDEX(Ledger!$C$6:$C$205,$L104)),"—")</f>
        <v>0</v>
      </c>
      <c r="E105" s="1" t="n">
        <f aca="false">IFERROR(IF($L104="","",INDEX(Ledger!$D$6:$D$205,$L104)),"—")</f>
        <v>0</v>
      </c>
      <c r="F105" s="1" t="n">
        <f aca="false">IFERROR(IF($L104="","",INDEX(Ledger!$E$6:$E$205,$L104)),"—")</f>
        <v>0</v>
      </c>
      <c r="G105" s="143" t="n">
        <f aca="false">IFERROR(IF($L104="","",INDEX(Ledger!$F$6:$F$205,$L104)),"—")</f>
        <v>0</v>
      </c>
      <c r="H105" s="143" t="n">
        <f aca="false">IFERROR(IF($L104="","",INDEX(Ledger!$G$6:$G$205,$L104)),"—")</f>
        <v>0</v>
      </c>
      <c r="I105" s="1" t="str">
        <f aca="false">IFERROR(IF($L104="","",INDEX(Ledger!$H$6:$H$205,$L104)),"—")</f>
        <v/>
      </c>
      <c r="J105" s="4"/>
      <c r="K105" s="4"/>
      <c r="L105" s="133" t="n">
        <f aca="false">IFERROR(SMALL(IF((Ledger!$D$6:$D$205=$C$4)*IF($C$5="All Years",1,YEAR(Ledger!$A$6:$A$205)=IF($C$5="All Years",0,VALUE($C$5))),ROW(Ledger!$D$6:$D$205)-ROW(Ledger!$D$6)+1),65),"")</f>
        <v>65</v>
      </c>
      <c r="M105" s="4"/>
    </row>
    <row r="106" customFormat="false" ht="19.5" hidden="false" customHeight="true" outlineLevel="0" collapsed="false">
      <c r="A106" s="1" t="n">
        <f aca="false">IF($L105="","",65)</f>
        <v>65</v>
      </c>
      <c r="B106" s="142" t="n">
        <f aca="false">IFERROR(IF($L105="","",INDEX(Ledger!$A$6:$A$205,$L105)),"—")</f>
        <v>0</v>
      </c>
      <c r="C106" s="1" t="n">
        <f aca="false">IFERROR(IF($L105="","",INDEX(Ledger!$B$6:$B$205,$L105)),"—")</f>
        <v>0</v>
      </c>
      <c r="D106" s="1" t="n">
        <f aca="false">IFERROR(IF($L105="","",INDEX(Ledger!$C$6:$C$205,$L105)),"—")</f>
        <v>0</v>
      </c>
      <c r="E106" s="1" t="n">
        <f aca="false">IFERROR(IF($L105="","",INDEX(Ledger!$D$6:$D$205,$L105)),"—")</f>
        <v>0</v>
      </c>
      <c r="F106" s="1" t="n">
        <f aca="false">IFERROR(IF($L105="","",INDEX(Ledger!$E$6:$E$205,$L105)),"—")</f>
        <v>0</v>
      </c>
      <c r="G106" s="143" t="n">
        <f aca="false">IFERROR(IF($L105="","",INDEX(Ledger!$F$6:$F$205,$L105)),"—")</f>
        <v>0</v>
      </c>
      <c r="H106" s="143" t="n">
        <f aca="false">IFERROR(IF($L105="","",INDEX(Ledger!$G$6:$G$205,$L105)),"—")</f>
        <v>0</v>
      </c>
      <c r="I106" s="1" t="str">
        <f aca="false">IFERROR(IF($L105="","",INDEX(Ledger!$H$6:$H$205,$L105)),"—")</f>
        <v/>
      </c>
      <c r="J106" s="4"/>
      <c r="K106" s="4"/>
      <c r="L106" s="133" t="n">
        <f aca="false">IFERROR(SMALL(IF((Ledger!$D$6:$D$205=$C$4)*IF($C$5="All Years",1,YEAR(Ledger!$A$6:$A$205)=IF($C$5="All Years",0,VALUE($C$5))),ROW(Ledger!$D$6:$D$205)-ROW(Ledger!$D$6)+1),66),"")</f>
        <v>66</v>
      </c>
      <c r="M106" s="4"/>
    </row>
    <row r="107" customFormat="false" ht="19.5" hidden="false" customHeight="true" outlineLevel="0" collapsed="false">
      <c r="A107" s="1" t="n">
        <f aca="false">IF($L106="","",66)</f>
        <v>66</v>
      </c>
      <c r="B107" s="142" t="n">
        <f aca="false">IFERROR(IF($L106="","",INDEX(Ledger!$A$6:$A$205,$L106)),"—")</f>
        <v>0</v>
      </c>
      <c r="C107" s="1" t="n">
        <f aca="false">IFERROR(IF($L106="","",INDEX(Ledger!$B$6:$B$205,$L106)),"—")</f>
        <v>0</v>
      </c>
      <c r="D107" s="1" t="n">
        <f aca="false">IFERROR(IF($L106="","",INDEX(Ledger!$C$6:$C$205,$L106)),"—")</f>
        <v>0</v>
      </c>
      <c r="E107" s="1" t="n">
        <f aca="false">IFERROR(IF($L106="","",INDEX(Ledger!$D$6:$D$205,$L106)),"—")</f>
        <v>0</v>
      </c>
      <c r="F107" s="1" t="n">
        <f aca="false">IFERROR(IF($L106="","",INDEX(Ledger!$E$6:$E$205,$L106)),"—")</f>
        <v>0</v>
      </c>
      <c r="G107" s="143" t="n">
        <f aca="false">IFERROR(IF($L106="","",INDEX(Ledger!$F$6:$F$205,$L106)),"—")</f>
        <v>0</v>
      </c>
      <c r="H107" s="143" t="n">
        <f aca="false">IFERROR(IF($L106="","",INDEX(Ledger!$G$6:$G$205,$L106)),"—")</f>
        <v>0</v>
      </c>
      <c r="I107" s="1" t="str">
        <f aca="false">IFERROR(IF($L106="","",INDEX(Ledger!$H$6:$H$205,$L106)),"—")</f>
        <v/>
      </c>
      <c r="J107" s="4"/>
      <c r="K107" s="4"/>
      <c r="L107" s="133" t="n">
        <f aca="false">IFERROR(SMALL(IF((Ledger!$D$6:$D$205=$C$4)*IF($C$5="All Years",1,YEAR(Ledger!$A$6:$A$205)=IF($C$5="All Years",0,VALUE($C$5))),ROW(Ledger!$D$6:$D$205)-ROW(Ledger!$D$6)+1),67),"")</f>
        <v>67</v>
      </c>
      <c r="M107" s="4"/>
    </row>
    <row r="108" customFormat="false" ht="19.5" hidden="false" customHeight="true" outlineLevel="0" collapsed="false">
      <c r="A108" s="1" t="n">
        <f aca="false">IF($L107="","",67)</f>
        <v>67</v>
      </c>
      <c r="B108" s="142" t="n">
        <f aca="false">IFERROR(IF($L107="","",INDEX(Ledger!$A$6:$A$205,$L107)),"—")</f>
        <v>0</v>
      </c>
      <c r="C108" s="1" t="n">
        <f aca="false">IFERROR(IF($L107="","",INDEX(Ledger!$B$6:$B$205,$L107)),"—")</f>
        <v>0</v>
      </c>
      <c r="D108" s="1" t="n">
        <f aca="false">IFERROR(IF($L107="","",INDEX(Ledger!$C$6:$C$205,$L107)),"—")</f>
        <v>0</v>
      </c>
      <c r="E108" s="1" t="n">
        <f aca="false">IFERROR(IF($L107="","",INDEX(Ledger!$D$6:$D$205,$L107)),"—")</f>
        <v>0</v>
      </c>
      <c r="F108" s="1" t="n">
        <f aca="false">IFERROR(IF($L107="","",INDEX(Ledger!$E$6:$E$205,$L107)),"—")</f>
        <v>0</v>
      </c>
      <c r="G108" s="143" t="n">
        <f aca="false">IFERROR(IF($L107="","",INDEX(Ledger!$F$6:$F$205,$L107)),"—")</f>
        <v>0</v>
      </c>
      <c r="H108" s="143" t="n">
        <f aca="false">IFERROR(IF($L107="","",INDEX(Ledger!$G$6:$G$205,$L107)),"—")</f>
        <v>0</v>
      </c>
      <c r="I108" s="1" t="str">
        <f aca="false">IFERROR(IF($L107="","",INDEX(Ledger!$H$6:$H$205,$L107)),"—")</f>
        <v/>
      </c>
      <c r="J108" s="4"/>
      <c r="K108" s="4"/>
      <c r="L108" s="133" t="n">
        <f aca="false">IFERROR(SMALL(IF((Ledger!$D$6:$D$205=$C$4)*IF($C$5="All Years",1,YEAR(Ledger!$A$6:$A$205)=IF($C$5="All Years",0,VALUE($C$5))),ROW(Ledger!$D$6:$D$205)-ROW(Ledger!$D$6)+1),68),"")</f>
        <v>68</v>
      </c>
      <c r="M108" s="4"/>
    </row>
    <row r="109" customFormat="false" ht="19.5" hidden="false" customHeight="true" outlineLevel="0" collapsed="false">
      <c r="A109" s="1" t="n">
        <f aca="false">IF($L108="","",68)</f>
        <v>68</v>
      </c>
      <c r="B109" s="142" t="n">
        <f aca="false">IFERROR(IF($L108="","",INDEX(Ledger!$A$6:$A$205,$L108)),"—")</f>
        <v>0</v>
      </c>
      <c r="C109" s="1" t="n">
        <f aca="false">IFERROR(IF($L108="","",INDEX(Ledger!$B$6:$B$205,$L108)),"—")</f>
        <v>0</v>
      </c>
      <c r="D109" s="1" t="n">
        <f aca="false">IFERROR(IF($L108="","",INDEX(Ledger!$C$6:$C$205,$L108)),"—")</f>
        <v>0</v>
      </c>
      <c r="E109" s="1" t="n">
        <f aca="false">IFERROR(IF($L108="","",INDEX(Ledger!$D$6:$D$205,$L108)),"—")</f>
        <v>0</v>
      </c>
      <c r="F109" s="1" t="n">
        <f aca="false">IFERROR(IF($L108="","",INDEX(Ledger!$E$6:$E$205,$L108)),"—")</f>
        <v>0</v>
      </c>
      <c r="G109" s="143" t="n">
        <f aca="false">IFERROR(IF($L108="","",INDEX(Ledger!$F$6:$F$205,$L108)),"—")</f>
        <v>0</v>
      </c>
      <c r="H109" s="143" t="n">
        <f aca="false">IFERROR(IF($L108="","",INDEX(Ledger!$G$6:$G$205,$L108)),"—")</f>
        <v>0</v>
      </c>
      <c r="I109" s="1" t="str">
        <f aca="false">IFERROR(IF($L108="","",INDEX(Ledger!$H$6:$H$205,$L108)),"—")</f>
        <v/>
      </c>
      <c r="J109" s="4"/>
      <c r="K109" s="4"/>
      <c r="L109" s="133" t="n">
        <f aca="false">IFERROR(SMALL(IF((Ledger!$D$6:$D$205=$C$4)*IF($C$5="All Years",1,YEAR(Ledger!$A$6:$A$205)=IF($C$5="All Years",0,VALUE($C$5))),ROW(Ledger!$D$6:$D$205)-ROW(Ledger!$D$6)+1),69),"")</f>
        <v>69</v>
      </c>
      <c r="M109" s="4"/>
    </row>
    <row r="110" customFormat="false" ht="19.5" hidden="false" customHeight="true" outlineLevel="0" collapsed="false">
      <c r="A110" s="1" t="n">
        <f aca="false">IF($L109="","",69)</f>
        <v>69</v>
      </c>
      <c r="B110" s="142" t="n">
        <f aca="false">IFERROR(IF($L109="","",INDEX(Ledger!$A$6:$A$205,$L109)),"—")</f>
        <v>0</v>
      </c>
      <c r="C110" s="1" t="n">
        <f aca="false">IFERROR(IF($L109="","",INDEX(Ledger!$B$6:$B$205,$L109)),"—")</f>
        <v>0</v>
      </c>
      <c r="D110" s="1" t="n">
        <f aca="false">IFERROR(IF($L109="","",INDEX(Ledger!$C$6:$C$205,$L109)),"—")</f>
        <v>0</v>
      </c>
      <c r="E110" s="1" t="n">
        <f aca="false">IFERROR(IF($L109="","",INDEX(Ledger!$D$6:$D$205,$L109)),"—")</f>
        <v>0</v>
      </c>
      <c r="F110" s="1" t="n">
        <f aca="false">IFERROR(IF($L109="","",INDEX(Ledger!$E$6:$E$205,$L109)),"—")</f>
        <v>0</v>
      </c>
      <c r="G110" s="143" t="n">
        <f aca="false">IFERROR(IF($L109="","",INDEX(Ledger!$F$6:$F$205,$L109)),"—")</f>
        <v>0</v>
      </c>
      <c r="H110" s="143" t="n">
        <f aca="false">IFERROR(IF($L109="","",INDEX(Ledger!$G$6:$G$205,$L109)),"—")</f>
        <v>0</v>
      </c>
      <c r="I110" s="1" t="str">
        <f aca="false">IFERROR(IF($L109="","",INDEX(Ledger!$H$6:$H$205,$L109)),"—")</f>
        <v/>
      </c>
      <c r="J110" s="4"/>
      <c r="K110" s="4"/>
      <c r="L110" s="133" t="n">
        <f aca="false">IFERROR(SMALL(IF((Ledger!$D$6:$D$205=$C$4)*IF($C$5="All Years",1,YEAR(Ledger!$A$6:$A$205)=IF($C$5="All Years",0,VALUE($C$5))),ROW(Ledger!$D$6:$D$205)-ROW(Ledger!$D$6)+1),70),"")</f>
        <v>70</v>
      </c>
      <c r="M110" s="4"/>
    </row>
    <row r="111" customFormat="false" ht="19.5" hidden="false" customHeight="true" outlineLevel="0" collapsed="false">
      <c r="A111" s="1" t="n">
        <f aca="false">IF($L110="","",70)</f>
        <v>70</v>
      </c>
      <c r="B111" s="142" t="n">
        <f aca="false">IFERROR(IF($L110="","",INDEX(Ledger!$A$6:$A$205,$L110)),"—")</f>
        <v>0</v>
      </c>
      <c r="C111" s="1" t="n">
        <f aca="false">IFERROR(IF($L110="","",INDEX(Ledger!$B$6:$B$205,$L110)),"—")</f>
        <v>0</v>
      </c>
      <c r="D111" s="1" t="n">
        <f aca="false">IFERROR(IF($L110="","",INDEX(Ledger!$C$6:$C$205,$L110)),"—")</f>
        <v>0</v>
      </c>
      <c r="E111" s="1" t="n">
        <f aca="false">IFERROR(IF($L110="","",INDEX(Ledger!$D$6:$D$205,$L110)),"—")</f>
        <v>0</v>
      </c>
      <c r="F111" s="1" t="n">
        <f aca="false">IFERROR(IF($L110="","",INDEX(Ledger!$E$6:$E$205,$L110)),"—")</f>
        <v>0</v>
      </c>
      <c r="G111" s="143" t="n">
        <f aca="false">IFERROR(IF($L110="","",INDEX(Ledger!$F$6:$F$205,$L110)),"—")</f>
        <v>0</v>
      </c>
      <c r="H111" s="143" t="n">
        <f aca="false">IFERROR(IF($L110="","",INDEX(Ledger!$G$6:$G$205,$L110)),"—")</f>
        <v>0</v>
      </c>
      <c r="I111" s="1" t="str">
        <f aca="false">IFERROR(IF($L110="","",INDEX(Ledger!$H$6:$H$205,$L110)),"—")</f>
        <v/>
      </c>
      <c r="J111" s="4"/>
      <c r="K111" s="4"/>
      <c r="L111" s="122" t="n">
        <f aca="false">IFERROR(SMALL(IF((Ledger!$D$6:$D$205=$C$4)*IF($C$5="All Years",1,YEAR(Ledger!$A$6:$A$205)=IF($C$5="All Years",0,VALUE($C$5))),ROW(Ledger!$D$6:$D$205)-ROW(Ledger!$D$6)+1),71),"")</f>
        <v>71</v>
      </c>
      <c r="M111" s="4"/>
    </row>
    <row r="112" customFormat="false" ht="19.5" hidden="false" customHeight="true" outlineLevel="0" collapsed="false">
      <c r="A112" s="1" t="n">
        <f aca="false">IF($L111="","",71)</f>
        <v>71</v>
      </c>
      <c r="B112" s="142" t="n">
        <f aca="false">IFERROR(IF($L111="","",INDEX(Ledger!$A$6:$A$205,$L111)),"—")</f>
        <v>0</v>
      </c>
      <c r="C112" s="1" t="n">
        <f aca="false">IFERROR(IF($L111="","",INDEX(Ledger!$B$6:$B$205,$L111)),"—")</f>
        <v>0</v>
      </c>
      <c r="D112" s="1" t="n">
        <f aca="false">IFERROR(IF($L111="","",INDEX(Ledger!$C$6:$C$205,$L111)),"—")</f>
        <v>0</v>
      </c>
      <c r="E112" s="1" t="n">
        <f aca="false">IFERROR(IF($L111="","",INDEX(Ledger!$D$6:$D$205,$L111)),"—")</f>
        <v>0</v>
      </c>
      <c r="F112" s="1" t="n">
        <f aca="false">IFERROR(IF($L111="","",INDEX(Ledger!$E$6:$E$205,$L111)),"—")</f>
        <v>0</v>
      </c>
      <c r="G112" s="143" t="n">
        <f aca="false">IFERROR(IF($L111="","",INDEX(Ledger!$F$6:$F$205,$L111)),"—")</f>
        <v>0</v>
      </c>
      <c r="H112" s="143" t="n">
        <f aca="false">IFERROR(IF($L111="","",INDEX(Ledger!$G$6:$G$205,$L111)),"—")</f>
        <v>0</v>
      </c>
      <c r="I112" s="1" t="str">
        <f aca="false">IFERROR(IF($L111="","",INDEX(Ledger!$H$6:$H$205,$L111)),"—")</f>
        <v/>
      </c>
      <c r="J112" s="4"/>
      <c r="K112" s="4"/>
      <c r="L112" s="122" t="n">
        <f aca="false">IFERROR(SMALL(IF((Ledger!$D$6:$D$205=$C$4)*IF($C$5="All Years",1,YEAR(Ledger!$A$6:$A$205)=IF($C$5="All Years",0,VALUE($C$5))),ROW(Ledger!$D$6:$D$205)-ROW(Ledger!$D$6)+1),72),"")</f>
        <v>72</v>
      </c>
      <c r="M112" s="4"/>
    </row>
    <row r="113" customFormat="false" ht="19.5" hidden="false" customHeight="true" outlineLevel="0" collapsed="false">
      <c r="A113" s="1" t="n">
        <f aca="false">IF($L112="","",72)</f>
        <v>72</v>
      </c>
      <c r="B113" s="142" t="n">
        <f aca="false">IFERROR(IF($L112="","",INDEX(Ledger!$A$6:$A$205,$L112)),"—")</f>
        <v>0</v>
      </c>
      <c r="C113" s="1" t="n">
        <f aca="false">IFERROR(IF($L112="","",INDEX(Ledger!$B$6:$B$205,$L112)),"—")</f>
        <v>0</v>
      </c>
      <c r="D113" s="1" t="n">
        <f aca="false">IFERROR(IF($L112="","",INDEX(Ledger!$C$6:$C$205,$L112)),"—")</f>
        <v>0</v>
      </c>
      <c r="E113" s="1" t="n">
        <f aca="false">IFERROR(IF($L112="","",INDEX(Ledger!$D$6:$D$205,$L112)),"—")</f>
        <v>0</v>
      </c>
      <c r="F113" s="1" t="n">
        <f aca="false">IFERROR(IF($L112="","",INDEX(Ledger!$E$6:$E$205,$L112)),"—")</f>
        <v>0</v>
      </c>
      <c r="G113" s="143" t="n">
        <f aca="false">IFERROR(IF($L112="","",INDEX(Ledger!$F$6:$F$205,$L112)),"—")</f>
        <v>0</v>
      </c>
      <c r="H113" s="143" t="n">
        <f aca="false">IFERROR(IF($L112="","",INDEX(Ledger!$G$6:$G$205,$L112)),"—")</f>
        <v>0</v>
      </c>
      <c r="I113" s="1" t="str">
        <f aca="false">IFERROR(IF($L112="","",INDEX(Ledger!$H$6:$H$205,$L112)),"—")</f>
        <v/>
      </c>
      <c r="J113" s="4"/>
      <c r="K113" s="4"/>
      <c r="L113" s="122" t="n">
        <f aca="false">IFERROR(SMALL(IF((Ledger!$D$6:$D$205=$C$4)*IF($C$5="All Years",1,YEAR(Ledger!$A$6:$A$205)=IF($C$5="All Years",0,VALUE($C$5))),ROW(Ledger!$D$6:$D$205)-ROW(Ledger!$D$6)+1),73),"")</f>
        <v>73</v>
      </c>
      <c r="M113" s="4"/>
    </row>
    <row r="114" customFormat="false" ht="19.5" hidden="false" customHeight="true" outlineLevel="0" collapsed="false">
      <c r="A114" s="1" t="n">
        <f aca="false">IF($L113="","",73)</f>
        <v>73</v>
      </c>
      <c r="B114" s="142" t="n">
        <f aca="false">IFERROR(IF($L113="","",INDEX(Ledger!$A$6:$A$205,$L113)),"—")</f>
        <v>0</v>
      </c>
      <c r="C114" s="1" t="n">
        <f aca="false">IFERROR(IF($L113="","",INDEX(Ledger!$B$6:$B$205,$L113)),"—")</f>
        <v>0</v>
      </c>
      <c r="D114" s="1" t="n">
        <f aca="false">IFERROR(IF($L113="","",INDEX(Ledger!$C$6:$C$205,$L113)),"—")</f>
        <v>0</v>
      </c>
      <c r="E114" s="1" t="n">
        <f aca="false">IFERROR(IF($L113="","",INDEX(Ledger!$D$6:$D$205,$L113)),"—")</f>
        <v>0</v>
      </c>
      <c r="F114" s="1" t="n">
        <f aca="false">IFERROR(IF($L113="","",INDEX(Ledger!$E$6:$E$205,$L113)),"—")</f>
        <v>0</v>
      </c>
      <c r="G114" s="143" t="n">
        <f aca="false">IFERROR(IF($L113="","",INDEX(Ledger!$F$6:$F$205,$L113)),"—")</f>
        <v>0</v>
      </c>
      <c r="H114" s="143" t="n">
        <f aca="false">IFERROR(IF($L113="","",INDEX(Ledger!$G$6:$G$205,$L113)),"—")</f>
        <v>0</v>
      </c>
      <c r="I114" s="1" t="str">
        <f aca="false">IFERROR(IF($L113="","",INDEX(Ledger!$H$6:$H$205,$L113)),"—")</f>
        <v/>
      </c>
      <c r="J114" s="4"/>
      <c r="K114" s="4"/>
      <c r="L114" s="122" t="n">
        <f aca="false">IFERROR(SMALL(IF((Ledger!$D$6:$D$205=$C$4)*IF($C$5="All Years",1,YEAR(Ledger!$A$6:$A$205)=IF($C$5="All Years",0,VALUE($C$5))),ROW(Ledger!$D$6:$D$205)-ROW(Ledger!$D$6)+1),74),"")</f>
        <v>74</v>
      </c>
      <c r="M114" s="4"/>
    </row>
    <row r="115" customFormat="false" ht="19.5" hidden="false" customHeight="true" outlineLevel="0" collapsed="false">
      <c r="A115" s="1" t="n">
        <f aca="false">IF($L114="","",74)</f>
        <v>74</v>
      </c>
      <c r="B115" s="142" t="n">
        <f aca="false">IFERROR(IF($L114="","",INDEX(Ledger!$A$6:$A$205,$L114)),"—")</f>
        <v>0</v>
      </c>
      <c r="C115" s="1" t="n">
        <f aca="false">IFERROR(IF($L114="","",INDEX(Ledger!$B$6:$B$205,$L114)),"—")</f>
        <v>0</v>
      </c>
      <c r="D115" s="1" t="n">
        <f aca="false">IFERROR(IF($L114="","",INDEX(Ledger!$C$6:$C$205,$L114)),"—")</f>
        <v>0</v>
      </c>
      <c r="E115" s="1" t="n">
        <f aca="false">IFERROR(IF($L114="","",INDEX(Ledger!$D$6:$D$205,$L114)),"—")</f>
        <v>0</v>
      </c>
      <c r="F115" s="1" t="n">
        <f aca="false">IFERROR(IF($L114="","",INDEX(Ledger!$E$6:$E$205,$L114)),"—")</f>
        <v>0</v>
      </c>
      <c r="G115" s="143" t="n">
        <f aca="false">IFERROR(IF($L114="","",INDEX(Ledger!$F$6:$F$205,$L114)),"—")</f>
        <v>0</v>
      </c>
      <c r="H115" s="143" t="n">
        <f aca="false">IFERROR(IF($L114="","",INDEX(Ledger!$G$6:$G$205,$L114)),"—")</f>
        <v>0</v>
      </c>
      <c r="I115" s="1" t="str">
        <f aca="false">IFERROR(IF($L114="","",INDEX(Ledger!$H$6:$H$205,$L114)),"—")</f>
        <v/>
      </c>
      <c r="J115" s="4"/>
      <c r="K115" s="4"/>
      <c r="L115" s="122" t="n">
        <f aca="false">IFERROR(SMALL(IF((Ledger!$D$6:$D$205=$C$4)*IF($C$5="All Years",1,YEAR(Ledger!$A$6:$A$205)=IF($C$5="All Years",0,VALUE($C$5))),ROW(Ledger!$D$6:$D$205)-ROW(Ledger!$D$6)+1),75),"")</f>
        <v>75</v>
      </c>
      <c r="M115" s="4"/>
    </row>
    <row r="116" customFormat="false" ht="19.5" hidden="false" customHeight="true" outlineLevel="0" collapsed="false">
      <c r="A116" s="1" t="n">
        <f aca="false">IF($L115="","",75)</f>
        <v>75</v>
      </c>
      <c r="B116" s="142" t="n">
        <f aca="false">IFERROR(IF($L115="","",INDEX(Ledger!$A$6:$A$205,$L115)),"—")</f>
        <v>0</v>
      </c>
      <c r="C116" s="1" t="n">
        <f aca="false">IFERROR(IF($L115="","",INDEX(Ledger!$B$6:$B$205,$L115)),"—")</f>
        <v>0</v>
      </c>
      <c r="D116" s="1" t="n">
        <f aca="false">IFERROR(IF($L115="","",INDEX(Ledger!$C$6:$C$205,$L115)),"—")</f>
        <v>0</v>
      </c>
      <c r="E116" s="1" t="n">
        <f aca="false">IFERROR(IF($L115="","",INDEX(Ledger!$D$6:$D$205,$L115)),"—")</f>
        <v>0</v>
      </c>
      <c r="F116" s="1" t="n">
        <f aca="false">IFERROR(IF($L115="","",INDEX(Ledger!$E$6:$E$205,$L115)),"—")</f>
        <v>0</v>
      </c>
      <c r="G116" s="143" t="n">
        <f aca="false">IFERROR(IF($L115="","",INDEX(Ledger!$F$6:$F$205,$L115)),"—")</f>
        <v>0</v>
      </c>
      <c r="H116" s="143" t="n">
        <f aca="false">IFERROR(IF($L115="","",INDEX(Ledger!$G$6:$G$205,$L115)),"—")</f>
        <v>0</v>
      </c>
      <c r="I116" s="1" t="str">
        <f aca="false">IFERROR(IF($L115="","",INDEX(Ledger!$H$6:$H$205,$L115)),"—")</f>
        <v/>
      </c>
      <c r="J116" s="4"/>
      <c r="K116" s="4"/>
      <c r="L116" s="122" t="n">
        <f aca="false">IFERROR(SMALL(IF((Ledger!$D$6:$D$205=$C$4)*IF($C$5="All Years",1,YEAR(Ledger!$A$6:$A$205)=IF($C$5="All Years",0,VALUE($C$5))),ROW(Ledger!$D$6:$D$205)-ROW(Ledger!$D$6)+1),76),"")</f>
        <v>76</v>
      </c>
      <c r="M116" s="4"/>
    </row>
    <row r="117" customFormat="false" ht="19.5" hidden="false" customHeight="true" outlineLevel="0" collapsed="false">
      <c r="A117" s="1" t="n">
        <f aca="false">IF($L116="","",76)</f>
        <v>76</v>
      </c>
      <c r="B117" s="142" t="n">
        <f aca="false">IFERROR(IF($L116="","",INDEX(Ledger!$A$6:$A$205,$L116)),"—")</f>
        <v>0</v>
      </c>
      <c r="C117" s="1" t="n">
        <f aca="false">IFERROR(IF($L116="","",INDEX(Ledger!$B$6:$B$205,$L116)),"—")</f>
        <v>0</v>
      </c>
      <c r="D117" s="1" t="n">
        <f aca="false">IFERROR(IF($L116="","",INDEX(Ledger!$C$6:$C$205,$L116)),"—")</f>
        <v>0</v>
      </c>
      <c r="E117" s="1" t="n">
        <f aca="false">IFERROR(IF($L116="","",INDEX(Ledger!$D$6:$D$205,$L116)),"—")</f>
        <v>0</v>
      </c>
      <c r="F117" s="1" t="n">
        <f aca="false">IFERROR(IF($L116="","",INDEX(Ledger!$E$6:$E$205,$L116)),"—")</f>
        <v>0</v>
      </c>
      <c r="G117" s="143" t="n">
        <f aca="false">IFERROR(IF($L116="","",INDEX(Ledger!$F$6:$F$205,$L116)),"—")</f>
        <v>0</v>
      </c>
      <c r="H117" s="143" t="n">
        <f aca="false">IFERROR(IF($L116="","",INDEX(Ledger!$G$6:$G$205,$L116)),"—")</f>
        <v>0</v>
      </c>
      <c r="I117" s="1" t="str">
        <f aca="false">IFERROR(IF($L116="","",INDEX(Ledger!$H$6:$H$205,$L116)),"—")</f>
        <v/>
      </c>
      <c r="J117" s="4"/>
      <c r="K117" s="4"/>
      <c r="L117" s="122" t="n">
        <f aca="false">IFERROR(SMALL(IF((Ledger!$D$6:$D$205=$C$4)*IF($C$5="All Years",1,YEAR(Ledger!$A$6:$A$205)=IF($C$5="All Years",0,VALUE($C$5))),ROW(Ledger!$D$6:$D$205)-ROW(Ledger!$D$6)+1),77),"")</f>
        <v>77</v>
      </c>
      <c r="M117" s="4"/>
    </row>
    <row r="118" customFormat="false" ht="19.5" hidden="false" customHeight="true" outlineLevel="0" collapsed="false">
      <c r="A118" s="1" t="n">
        <f aca="false">IF($L117="","",77)</f>
        <v>77</v>
      </c>
      <c r="B118" s="142" t="n">
        <f aca="false">IFERROR(IF($L117="","",INDEX(Ledger!$A$6:$A$205,$L117)),"—")</f>
        <v>0</v>
      </c>
      <c r="C118" s="1" t="n">
        <f aca="false">IFERROR(IF($L117="","",INDEX(Ledger!$B$6:$B$205,$L117)),"—")</f>
        <v>0</v>
      </c>
      <c r="D118" s="1" t="n">
        <f aca="false">IFERROR(IF($L117="","",INDEX(Ledger!$C$6:$C$205,$L117)),"—")</f>
        <v>0</v>
      </c>
      <c r="E118" s="1" t="n">
        <f aca="false">IFERROR(IF($L117="","",INDEX(Ledger!$D$6:$D$205,$L117)),"—")</f>
        <v>0</v>
      </c>
      <c r="F118" s="1" t="n">
        <f aca="false">IFERROR(IF($L117="","",INDEX(Ledger!$E$6:$E$205,$L117)),"—")</f>
        <v>0</v>
      </c>
      <c r="G118" s="143" t="n">
        <f aca="false">IFERROR(IF($L117="","",INDEX(Ledger!$F$6:$F$205,$L117)),"—")</f>
        <v>0</v>
      </c>
      <c r="H118" s="143" t="n">
        <f aca="false">IFERROR(IF($L117="","",INDEX(Ledger!$G$6:$G$205,$L117)),"—")</f>
        <v>0</v>
      </c>
      <c r="I118" s="1" t="str">
        <f aca="false">IFERROR(IF($L117="","",INDEX(Ledger!$H$6:$H$205,$L117)),"—")</f>
        <v/>
      </c>
      <c r="J118" s="4"/>
      <c r="K118" s="4"/>
      <c r="L118" s="122" t="n">
        <f aca="false">IFERROR(SMALL(IF((Ledger!$D$6:$D$205=$C$4)*IF($C$5="All Years",1,YEAR(Ledger!$A$6:$A$205)=IF($C$5="All Years",0,VALUE($C$5))),ROW(Ledger!$D$6:$D$205)-ROW(Ledger!$D$6)+1),78),"")</f>
        <v>78</v>
      </c>
      <c r="M118" s="4"/>
    </row>
    <row r="119" customFormat="false" ht="19.5" hidden="false" customHeight="true" outlineLevel="0" collapsed="false">
      <c r="A119" s="1" t="n">
        <f aca="false">IF($L118="","",78)</f>
        <v>78</v>
      </c>
      <c r="B119" s="142" t="n">
        <f aca="false">IFERROR(IF($L118="","",INDEX(Ledger!$A$6:$A$205,$L118)),"—")</f>
        <v>0</v>
      </c>
      <c r="C119" s="1" t="n">
        <f aca="false">IFERROR(IF($L118="","",INDEX(Ledger!$B$6:$B$205,$L118)),"—")</f>
        <v>0</v>
      </c>
      <c r="D119" s="1" t="n">
        <f aca="false">IFERROR(IF($L118="","",INDEX(Ledger!$C$6:$C$205,$L118)),"—")</f>
        <v>0</v>
      </c>
      <c r="E119" s="1" t="n">
        <f aca="false">IFERROR(IF($L118="","",INDEX(Ledger!$D$6:$D$205,$L118)),"—")</f>
        <v>0</v>
      </c>
      <c r="F119" s="1" t="n">
        <f aca="false">IFERROR(IF($L118="","",INDEX(Ledger!$E$6:$E$205,$L118)),"—")</f>
        <v>0</v>
      </c>
      <c r="G119" s="143" t="n">
        <f aca="false">IFERROR(IF($L118="","",INDEX(Ledger!$F$6:$F$205,$L118)),"—")</f>
        <v>0</v>
      </c>
      <c r="H119" s="143" t="n">
        <f aca="false">IFERROR(IF($L118="","",INDEX(Ledger!$G$6:$G$205,$L118)),"—")</f>
        <v>0</v>
      </c>
      <c r="I119" s="1" t="str">
        <f aca="false">IFERROR(IF($L118="","",INDEX(Ledger!$H$6:$H$205,$L118)),"—")</f>
        <v/>
      </c>
      <c r="J119" s="4"/>
      <c r="K119" s="4"/>
      <c r="L119" s="122" t="n">
        <f aca="false">IFERROR(SMALL(IF((Ledger!$D$6:$D$205=$C$4)*IF($C$5="All Years",1,YEAR(Ledger!$A$6:$A$205)=IF($C$5="All Years",0,VALUE($C$5))),ROW(Ledger!$D$6:$D$205)-ROW(Ledger!$D$6)+1),79),"")</f>
        <v>79</v>
      </c>
      <c r="M119" s="4"/>
    </row>
    <row r="120" customFormat="false" ht="19.5" hidden="false" customHeight="true" outlineLevel="0" collapsed="false">
      <c r="A120" s="1" t="n">
        <f aca="false">IF($L119="","",79)</f>
        <v>79</v>
      </c>
      <c r="B120" s="142" t="n">
        <f aca="false">IFERROR(IF($L119="","",INDEX(Ledger!$A$6:$A$205,$L119)),"—")</f>
        <v>0</v>
      </c>
      <c r="C120" s="1" t="n">
        <f aca="false">IFERROR(IF($L119="","",INDEX(Ledger!$B$6:$B$205,$L119)),"—")</f>
        <v>0</v>
      </c>
      <c r="D120" s="1" t="n">
        <f aca="false">IFERROR(IF($L119="","",INDEX(Ledger!$C$6:$C$205,$L119)),"—")</f>
        <v>0</v>
      </c>
      <c r="E120" s="1" t="n">
        <f aca="false">IFERROR(IF($L119="","",INDEX(Ledger!$D$6:$D$205,$L119)),"—")</f>
        <v>0</v>
      </c>
      <c r="F120" s="1" t="n">
        <f aca="false">IFERROR(IF($L119="","",INDEX(Ledger!$E$6:$E$205,$L119)),"—")</f>
        <v>0</v>
      </c>
      <c r="G120" s="143" t="n">
        <f aca="false">IFERROR(IF($L119="","",INDEX(Ledger!$F$6:$F$205,$L119)),"—")</f>
        <v>0</v>
      </c>
      <c r="H120" s="143" t="n">
        <f aca="false">IFERROR(IF($L119="","",INDEX(Ledger!$G$6:$G$205,$L119)),"—")</f>
        <v>0</v>
      </c>
      <c r="I120" s="1" t="str">
        <f aca="false">IFERROR(IF($L119="","",INDEX(Ledger!$H$6:$H$205,$L119)),"—")</f>
        <v/>
      </c>
      <c r="J120" s="4"/>
      <c r="K120" s="4"/>
      <c r="L120" s="122" t="n">
        <f aca="false">IFERROR(SMALL(IF((Ledger!$D$6:$D$205=$C$4)*IF($C$5="All Years",1,YEAR(Ledger!$A$6:$A$205)=IF($C$5="All Years",0,VALUE($C$5))),ROW(Ledger!$D$6:$D$205)-ROW(Ledger!$D$6)+1),80),"")</f>
        <v>80</v>
      </c>
      <c r="M120" s="4"/>
    </row>
    <row r="121" customFormat="false" ht="19.5" hidden="false" customHeight="true" outlineLevel="0" collapsed="false">
      <c r="A121" s="1" t="n">
        <f aca="false">IF($L120="","",80)</f>
        <v>80</v>
      </c>
      <c r="B121" s="142" t="n">
        <f aca="false">IFERROR(IF($L120="","",INDEX(Ledger!$A$6:$A$205,$L120)),"—")</f>
        <v>0</v>
      </c>
      <c r="C121" s="1" t="n">
        <f aca="false">IFERROR(IF($L120="","",INDEX(Ledger!$B$6:$B$205,$L120)),"—")</f>
        <v>0</v>
      </c>
      <c r="D121" s="1" t="n">
        <f aca="false">IFERROR(IF($L120="","",INDEX(Ledger!$C$6:$C$205,$L120)),"—")</f>
        <v>0</v>
      </c>
      <c r="E121" s="1" t="n">
        <f aca="false">IFERROR(IF($L120="","",INDEX(Ledger!$D$6:$D$205,$L120)),"—")</f>
        <v>0</v>
      </c>
      <c r="F121" s="1" t="n">
        <f aca="false">IFERROR(IF($L120="","",INDEX(Ledger!$E$6:$E$205,$L120)),"—")</f>
        <v>0</v>
      </c>
      <c r="G121" s="143" t="n">
        <f aca="false">IFERROR(IF($L120="","",INDEX(Ledger!$F$6:$F$205,$L120)),"—")</f>
        <v>0</v>
      </c>
      <c r="H121" s="143" t="n">
        <f aca="false">IFERROR(IF($L120="","",INDEX(Ledger!$G$6:$G$205,$L120)),"—")</f>
        <v>0</v>
      </c>
      <c r="I121" s="1" t="str">
        <f aca="false">IFERROR(IF($L120="","",INDEX(Ledger!$H$6:$H$205,$L120)),"—")</f>
        <v/>
      </c>
      <c r="J121" s="4"/>
      <c r="K121" s="4"/>
      <c r="L121" s="122" t="n">
        <f aca="false">IFERROR(SMALL(IF((Ledger!$D$6:$D$205=$C$4)*IF($C$5="All Years",1,YEAR(Ledger!$A$6:$A$205)=IF($C$5="All Years",0,VALUE($C$5))),ROW(Ledger!$D$6:$D$205)-ROW(Ledger!$D$6)+1),81),"")</f>
        <v>81</v>
      </c>
      <c r="M121" s="4"/>
    </row>
    <row r="122" customFormat="false" ht="19.5" hidden="false" customHeight="true" outlineLevel="0" collapsed="false">
      <c r="A122" s="1" t="n">
        <f aca="false">IF($L121="","",81)</f>
        <v>81</v>
      </c>
      <c r="B122" s="142" t="n">
        <f aca="false">IFERROR(IF($L121="","",INDEX(Ledger!$A$6:$A$205,$L121)),"—")</f>
        <v>0</v>
      </c>
      <c r="C122" s="1" t="n">
        <f aca="false">IFERROR(IF($L121="","",INDEX(Ledger!$B$6:$B$205,$L121)),"—")</f>
        <v>0</v>
      </c>
      <c r="D122" s="1" t="n">
        <f aca="false">IFERROR(IF($L121="","",INDEX(Ledger!$C$6:$C$205,$L121)),"—")</f>
        <v>0</v>
      </c>
      <c r="E122" s="1" t="n">
        <f aca="false">IFERROR(IF($L121="","",INDEX(Ledger!$D$6:$D$205,$L121)),"—")</f>
        <v>0</v>
      </c>
      <c r="F122" s="1" t="n">
        <f aca="false">IFERROR(IF($L121="","",INDEX(Ledger!$E$6:$E$205,$L121)),"—")</f>
        <v>0</v>
      </c>
      <c r="G122" s="143" t="n">
        <f aca="false">IFERROR(IF($L121="","",INDEX(Ledger!$F$6:$F$205,$L121)),"—")</f>
        <v>0</v>
      </c>
      <c r="H122" s="143" t="n">
        <f aca="false">IFERROR(IF($L121="","",INDEX(Ledger!$G$6:$G$205,$L121)),"—")</f>
        <v>0</v>
      </c>
      <c r="I122" s="1" t="str">
        <f aca="false">IFERROR(IF($L121="","",INDEX(Ledger!$H$6:$H$205,$L121)),"—")</f>
        <v/>
      </c>
      <c r="J122" s="4"/>
      <c r="K122" s="4"/>
      <c r="L122" s="122" t="n">
        <f aca="false">IFERROR(SMALL(IF((Ledger!$D$6:$D$205=$C$4)*IF($C$5="All Years",1,YEAR(Ledger!$A$6:$A$205)=IF($C$5="All Years",0,VALUE($C$5))),ROW(Ledger!$D$6:$D$205)-ROW(Ledger!$D$6)+1),82),"")</f>
        <v>82</v>
      </c>
      <c r="M122" s="4"/>
    </row>
    <row r="123" customFormat="false" ht="19.5" hidden="false" customHeight="true" outlineLevel="0" collapsed="false">
      <c r="A123" s="1" t="n">
        <f aca="false">IF($L122="","",82)</f>
        <v>82</v>
      </c>
      <c r="B123" s="142" t="n">
        <f aca="false">IFERROR(IF($L122="","",INDEX(Ledger!$A$6:$A$205,$L122)),"—")</f>
        <v>0</v>
      </c>
      <c r="C123" s="1" t="n">
        <f aca="false">IFERROR(IF($L122="","",INDEX(Ledger!$B$6:$B$205,$L122)),"—")</f>
        <v>0</v>
      </c>
      <c r="D123" s="1" t="n">
        <f aca="false">IFERROR(IF($L122="","",INDEX(Ledger!$C$6:$C$205,$L122)),"—")</f>
        <v>0</v>
      </c>
      <c r="E123" s="1" t="n">
        <f aca="false">IFERROR(IF($L122="","",INDEX(Ledger!$D$6:$D$205,$L122)),"—")</f>
        <v>0</v>
      </c>
      <c r="F123" s="1" t="n">
        <f aca="false">IFERROR(IF($L122="","",INDEX(Ledger!$E$6:$E$205,$L122)),"—")</f>
        <v>0</v>
      </c>
      <c r="G123" s="143" t="n">
        <f aca="false">IFERROR(IF($L122="","",INDEX(Ledger!$F$6:$F$205,$L122)),"—")</f>
        <v>0</v>
      </c>
      <c r="H123" s="143" t="n">
        <f aca="false">IFERROR(IF($L122="","",INDEX(Ledger!$G$6:$G$205,$L122)),"—")</f>
        <v>0</v>
      </c>
      <c r="I123" s="1" t="str">
        <f aca="false">IFERROR(IF($L122="","",INDEX(Ledger!$H$6:$H$205,$L122)),"—")</f>
        <v/>
      </c>
      <c r="J123" s="4"/>
      <c r="K123" s="4"/>
      <c r="L123" s="122" t="n">
        <f aca="false">IFERROR(SMALL(IF((Ledger!$D$6:$D$205=$C$4)*IF($C$5="All Years",1,YEAR(Ledger!$A$6:$A$205)=IF($C$5="All Years",0,VALUE($C$5))),ROW(Ledger!$D$6:$D$205)-ROW(Ledger!$D$6)+1),83),"")</f>
        <v>83</v>
      </c>
      <c r="M123" s="4"/>
    </row>
    <row r="124" customFormat="false" ht="19.5" hidden="false" customHeight="true" outlineLevel="0" collapsed="false">
      <c r="A124" s="1" t="n">
        <f aca="false">IF($L123="","",83)</f>
        <v>83</v>
      </c>
      <c r="B124" s="142" t="n">
        <f aca="false">IFERROR(IF($L123="","",INDEX(Ledger!$A$6:$A$205,$L123)),"—")</f>
        <v>0</v>
      </c>
      <c r="C124" s="1" t="n">
        <f aca="false">IFERROR(IF($L123="","",INDEX(Ledger!$B$6:$B$205,$L123)),"—")</f>
        <v>0</v>
      </c>
      <c r="D124" s="1" t="n">
        <f aca="false">IFERROR(IF($L123="","",INDEX(Ledger!$C$6:$C$205,$L123)),"—")</f>
        <v>0</v>
      </c>
      <c r="E124" s="1" t="n">
        <f aca="false">IFERROR(IF($L123="","",INDEX(Ledger!$D$6:$D$205,$L123)),"—")</f>
        <v>0</v>
      </c>
      <c r="F124" s="1" t="n">
        <f aca="false">IFERROR(IF($L123="","",INDEX(Ledger!$E$6:$E$205,$L123)),"—")</f>
        <v>0</v>
      </c>
      <c r="G124" s="143" t="n">
        <f aca="false">IFERROR(IF($L123="","",INDEX(Ledger!$F$6:$F$205,$L123)),"—")</f>
        <v>0</v>
      </c>
      <c r="H124" s="143" t="n">
        <f aca="false">IFERROR(IF($L123="","",INDEX(Ledger!$G$6:$G$205,$L123)),"—")</f>
        <v>0</v>
      </c>
      <c r="I124" s="1" t="str">
        <f aca="false">IFERROR(IF($L123="","",INDEX(Ledger!$H$6:$H$205,$L123)),"—")</f>
        <v/>
      </c>
      <c r="J124" s="4"/>
      <c r="K124" s="4"/>
      <c r="L124" s="122" t="n">
        <f aca="false">IFERROR(SMALL(IF((Ledger!$D$6:$D$205=$C$4)*IF($C$5="All Years",1,YEAR(Ledger!$A$6:$A$205)=IF($C$5="All Years",0,VALUE($C$5))),ROW(Ledger!$D$6:$D$205)-ROW(Ledger!$D$6)+1),84),"")</f>
        <v>84</v>
      </c>
      <c r="M124" s="4"/>
    </row>
    <row r="125" customFormat="false" ht="19.5" hidden="false" customHeight="true" outlineLevel="0" collapsed="false">
      <c r="A125" s="1" t="n">
        <f aca="false">IF($L124="","",84)</f>
        <v>84</v>
      </c>
      <c r="B125" s="142" t="n">
        <f aca="false">IFERROR(IF($L124="","",INDEX(Ledger!$A$6:$A$205,$L124)),"—")</f>
        <v>0</v>
      </c>
      <c r="C125" s="1" t="n">
        <f aca="false">IFERROR(IF($L124="","",INDEX(Ledger!$B$6:$B$205,$L124)),"—")</f>
        <v>0</v>
      </c>
      <c r="D125" s="1" t="n">
        <f aca="false">IFERROR(IF($L124="","",INDEX(Ledger!$C$6:$C$205,$L124)),"—")</f>
        <v>0</v>
      </c>
      <c r="E125" s="1" t="n">
        <f aca="false">IFERROR(IF($L124="","",INDEX(Ledger!$D$6:$D$205,$L124)),"—")</f>
        <v>0</v>
      </c>
      <c r="F125" s="1" t="n">
        <f aca="false">IFERROR(IF($L124="","",INDEX(Ledger!$E$6:$E$205,$L124)),"—")</f>
        <v>0</v>
      </c>
      <c r="G125" s="143" t="n">
        <f aca="false">IFERROR(IF($L124="","",INDEX(Ledger!$F$6:$F$205,$L124)),"—")</f>
        <v>0</v>
      </c>
      <c r="H125" s="143" t="n">
        <f aca="false">IFERROR(IF($L124="","",INDEX(Ledger!$G$6:$G$205,$L124)),"—")</f>
        <v>0</v>
      </c>
      <c r="I125" s="1" t="str">
        <f aca="false">IFERROR(IF($L124="","",INDEX(Ledger!$H$6:$H$205,$L124)),"—")</f>
        <v/>
      </c>
      <c r="J125" s="4"/>
      <c r="K125" s="4"/>
      <c r="L125" s="122" t="n">
        <f aca="false">IFERROR(SMALL(IF((Ledger!$D$6:$D$205=$C$4)*IF($C$5="All Years",1,YEAR(Ledger!$A$6:$A$205)=IF($C$5="All Years",0,VALUE($C$5))),ROW(Ledger!$D$6:$D$205)-ROW(Ledger!$D$6)+1),85),"")</f>
        <v>85</v>
      </c>
      <c r="M125" s="4"/>
    </row>
    <row r="126" customFormat="false" ht="19.5" hidden="false" customHeight="true" outlineLevel="0" collapsed="false">
      <c r="A126" s="1" t="n">
        <f aca="false">IF($L125="","",85)</f>
        <v>85</v>
      </c>
      <c r="B126" s="142" t="n">
        <f aca="false">IFERROR(IF($L125="","",INDEX(Ledger!$A$6:$A$205,$L125)),"—")</f>
        <v>0</v>
      </c>
      <c r="C126" s="1" t="n">
        <f aca="false">IFERROR(IF($L125="","",INDEX(Ledger!$B$6:$B$205,$L125)),"—")</f>
        <v>0</v>
      </c>
      <c r="D126" s="1" t="n">
        <f aca="false">IFERROR(IF($L125="","",INDEX(Ledger!$C$6:$C$205,$L125)),"—")</f>
        <v>0</v>
      </c>
      <c r="E126" s="1" t="n">
        <f aca="false">IFERROR(IF($L125="","",INDEX(Ledger!$D$6:$D$205,$L125)),"—")</f>
        <v>0</v>
      </c>
      <c r="F126" s="1" t="n">
        <f aca="false">IFERROR(IF($L125="","",INDEX(Ledger!$E$6:$E$205,$L125)),"—")</f>
        <v>0</v>
      </c>
      <c r="G126" s="143" t="n">
        <f aca="false">IFERROR(IF($L125="","",INDEX(Ledger!$F$6:$F$205,$L125)),"—")</f>
        <v>0</v>
      </c>
      <c r="H126" s="143" t="n">
        <f aca="false">IFERROR(IF($L125="","",INDEX(Ledger!$G$6:$G$205,$L125)),"—")</f>
        <v>0</v>
      </c>
      <c r="I126" s="1" t="str">
        <f aca="false">IFERROR(IF($L125="","",INDEX(Ledger!$H$6:$H$205,$L125)),"—")</f>
        <v/>
      </c>
      <c r="J126" s="4"/>
      <c r="K126" s="4"/>
      <c r="L126" s="122" t="n">
        <f aca="false">IFERROR(SMALL(IF((Ledger!$D$6:$D$205=$C$4)*IF($C$5="All Years",1,YEAR(Ledger!$A$6:$A$205)=IF($C$5="All Years",0,VALUE($C$5))),ROW(Ledger!$D$6:$D$205)-ROW(Ledger!$D$6)+1),86),"")</f>
        <v>86</v>
      </c>
      <c r="M126" s="4"/>
    </row>
    <row r="127" customFormat="false" ht="19.5" hidden="false" customHeight="true" outlineLevel="0" collapsed="false">
      <c r="A127" s="1" t="n">
        <f aca="false">IF($L126="","",86)</f>
        <v>86</v>
      </c>
      <c r="B127" s="142" t="n">
        <f aca="false">IFERROR(IF($L126="","",INDEX(Ledger!$A$6:$A$205,$L126)),"—")</f>
        <v>0</v>
      </c>
      <c r="C127" s="1" t="n">
        <f aca="false">IFERROR(IF($L126="","",INDEX(Ledger!$B$6:$B$205,$L126)),"—")</f>
        <v>0</v>
      </c>
      <c r="D127" s="1" t="n">
        <f aca="false">IFERROR(IF($L126="","",INDEX(Ledger!$C$6:$C$205,$L126)),"—")</f>
        <v>0</v>
      </c>
      <c r="E127" s="1" t="n">
        <f aca="false">IFERROR(IF($L126="","",INDEX(Ledger!$D$6:$D$205,$L126)),"—")</f>
        <v>0</v>
      </c>
      <c r="F127" s="1" t="n">
        <f aca="false">IFERROR(IF($L126="","",INDEX(Ledger!$E$6:$E$205,$L126)),"—")</f>
        <v>0</v>
      </c>
      <c r="G127" s="143" t="n">
        <f aca="false">IFERROR(IF($L126="","",INDEX(Ledger!$F$6:$F$205,$L126)),"—")</f>
        <v>0</v>
      </c>
      <c r="H127" s="143" t="n">
        <f aca="false">IFERROR(IF($L126="","",INDEX(Ledger!$G$6:$G$205,$L126)),"—")</f>
        <v>0</v>
      </c>
      <c r="I127" s="1" t="str">
        <f aca="false">IFERROR(IF($L126="","",INDEX(Ledger!$H$6:$H$205,$L126)),"—")</f>
        <v/>
      </c>
      <c r="J127" s="4"/>
      <c r="K127" s="4"/>
      <c r="L127" s="122" t="n">
        <f aca="false">IFERROR(SMALL(IF((Ledger!$D$6:$D$205=$C$4)*IF($C$5="All Years",1,YEAR(Ledger!$A$6:$A$205)=IF($C$5="All Years",0,VALUE($C$5))),ROW(Ledger!$D$6:$D$205)-ROW(Ledger!$D$6)+1),87),"")</f>
        <v>87</v>
      </c>
      <c r="M127" s="4"/>
    </row>
    <row r="128" customFormat="false" ht="19.5" hidden="false" customHeight="true" outlineLevel="0" collapsed="false">
      <c r="A128" s="1" t="n">
        <f aca="false">IF($L127="","",87)</f>
        <v>87</v>
      </c>
      <c r="B128" s="142" t="n">
        <f aca="false">IFERROR(IF($L127="","",INDEX(Ledger!$A$6:$A$205,$L127)),"—")</f>
        <v>0</v>
      </c>
      <c r="C128" s="1" t="n">
        <f aca="false">IFERROR(IF($L127="","",INDEX(Ledger!$B$6:$B$205,$L127)),"—")</f>
        <v>0</v>
      </c>
      <c r="D128" s="1" t="n">
        <f aca="false">IFERROR(IF($L127="","",INDEX(Ledger!$C$6:$C$205,$L127)),"—")</f>
        <v>0</v>
      </c>
      <c r="E128" s="1" t="n">
        <f aca="false">IFERROR(IF($L127="","",INDEX(Ledger!$D$6:$D$205,$L127)),"—")</f>
        <v>0</v>
      </c>
      <c r="F128" s="1" t="n">
        <f aca="false">IFERROR(IF($L127="","",INDEX(Ledger!$E$6:$E$205,$L127)),"—")</f>
        <v>0</v>
      </c>
      <c r="G128" s="143" t="n">
        <f aca="false">IFERROR(IF($L127="","",INDEX(Ledger!$F$6:$F$205,$L127)),"—")</f>
        <v>0</v>
      </c>
      <c r="H128" s="143" t="n">
        <f aca="false">IFERROR(IF($L127="","",INDEX(Ledger!$G$6:$G$205,$L127)),"—")</f>
        <v>0</v>
      </c>
      <c r="I128" s="1" t="str">
        <f aca="false">IFERROR(IF($L127="","",INDEX(Ledger!$H$6:$H$205,$L127)),"—")</f>
        <v/>
      </c>
      <c r="J128" s="4"/>
      <c r="K128" s="4"/>
      <c r="L128" s="122" t="n">
        <f aca="false">IFERROR(SMALL(IF((Ledger!$D$6:$D$205=$C$4)*IF($C$5="All Years",1,YEAR(Ledger!$A$6:$A$205)=IF($C$5="All Years",0,VALUE($C$5))),ROW(Ledger!$D$6:$D$205)-ROW(Ledger!$D$6)+1),88),"")</f>
        <v>88</v>
      </c>
      <c r="M128" s="4"/>
    </row>
    <row r="129" customFormat="false" ht="19.5" hidden="false" customHeight="true" outlineLevel="0" collapsed="false">
      <c r="A129" s="1" t="n">
        <f aca="false">IF($L128="","",88)</f>
        <v>88</v>
      </c>
      <c r="B129" s="142" t="n">
        <f aca="false">IFERROR(IF($L128="","",INDEX(Ledger!$A$6:$A$205,$L128)),"—")</f>
        <v>0</v>
      </c>
      <c r="C129" s="1" t="n">
        <f aca="false">IFERROR(IF($L128="","",INDEX(Ledger!$B$6:$B$205,$L128)),"—")</f>
        <v>0</v>
      </c>
      <c r="D129" s="1" t="n">
        <f aca="false">IFERROR(IF($L128="","",INDEX(Ledger!$C$6:$C$205,$L128)),"—")</f>
        <v>0</v>
      </c>
      <c r="E129" s="1" t="n">
        <f aca="false">IFERROR(IF($L128="","",INDEX(Ledger!$D$6:$D$205,$L128)),"—")</f>
        <v>0</v>
      </c>
      <c r="F129" s="1" t="n">
        <f aca="false">IFERROR(IF($L128="","",INDEX(Ledger!$E$6:$E$205,$L128)),"—")</f>
        <v>0</v>
      </c>
      <c r="G129" s="143" t="n">
        <f aca="false">IFERROR(IF($L128="","",INDEX(Ledger!$F$6:$F$205,$L128)),"—")</f>
        <v>0</v>
      </c>
      <c r="H129" s="143" t="n">
        <f aca="false">IFERROR(IF($L128="","",INDEX(Ledger!$G$6:$G$205,$L128)),"—")</f>
        <v>0</v>
      </c>
      <c r="I129" s="1" t="str">
        <f aca="false">IFERROR(IF($L128="","",INDEX(Ledger!$H$6:$H$205,$L128)),"—")</f>
        <v/>
      </c>
      <c r="J129" s="4"/>
      <c r="K129" s="4"/>
      <c r="L129" s="122" t="n">
        <f aca="false">IFERROR(SMALL(IF((Ledger!$D$6:$D$205=$C$4)*IF($C$5="All Years",1,YEAR(Ledger!$A$6:$A$205)=IF($C$5="All Years",0,VALUE($C$5))),ROW(Ledger!$D$6:$D$205)-ROW(Ledger!$D$6)+1),89),"")</f>
        <v>89</v>
      </c>
      <c r="M129" s="4"/>
    </row>
    <row r="130" customFormat="false" ht="19.5" hidden="false" customHeight="true" outlineLevel="0" collapsed="false">
      <c r="A130" s="1" t="n">
        <f aca="false">IF($L129="","",89)</f>
        <v>89</v>
      </c>
      <c r="B130" s="142" t="n">
        <f aca="false">IFERROR(IF($L129="","",INDEX(Ledger!$A$6:$A$205,$L129)),"—")</f>
        <v>0</v>
      </c>
      <c r="C130" s="1" t="n">
        <f aca="false">IFERROR(IF($L129="","",INDEX(Ledger!$B$6:$B$205,$L129)),"—")</f>
        <v>0</v>
      </c>
      <c r="D130" s="1" t="n">
        <f aca="false">IFERROR(IF($L129="","",INDEX(Ledger!$C$6:$C$205,$L129)),"—")</f>
        <v>0</v>
      </c>
      <c r="E130" s="1" t="n">
        <f aca="false">IFERROR(IF($L129="","",INDEX(Ledger!$D$6:$D$205,$L129)),"—")</f>
        <v>0</v>
      </c>
      <c r="F130" s="1" t="n">
        <f aca="false">IFERROR(IF($L129="","",INDEX(Ledger!$E$6:$E$205,$L129)),"—")</f>
        <v>0</v>
      </c>
      <c r="G130" s="143" t="n">
        <f aca="false">IFERROR(IF($L129="","",INDEX(Ledger!$F$6:$F$205,$L129)),"—")</f>
        <v>0</v>
      </c>
      <c r="H130" s="143" t="n">
        <f aca="false">IFERROR(IF($L129="","",INDEX(Ledger!$G$6:$G$205,$L129)),"—")</f>
        <v>0</v>
      </c>
      <c r="I130" s="1" t="str">
        <f aca="false">IFERROR(IF($L129="","",INDEX(Ledger!$H$6:$H$205,$L129)),"—")</f>
        <v/>
      </c>
      <c r="J130" s="4"/>
      <c r="K130" s="4"/>
      <c r="L130" s="122" t="n">
        <f aca="false">IFERROR(SMALL(IF((Ledger!$D$6:$D$205=$C$4)*IF($C$5="All Years",1,YEAR(Ledger!$A$6:$A$205)=IF($C$5="All Years",0,VALUE($C$5))),ROW(Ledger!$D$6:$D$205)-ROW(Ledger!$D$6)+1),90),"")</f>
        <v>90</v>
      </c>
      <c r="M130" s="4"/>
    </row>
    <row r="131" customFormat="false" ht="19.5" hidden="false" customHeight="true" outlineLevel="0" collapsed="false">
      <c r="A131" s="1" t="n">
        <f aca="false">IF($L130="","",90)</f>
        <v>90</v>
      </c>
      <c r="B131" s="142" t="n">
        <f aca="false">IFERROR(IF($L130="","",INDEX(Ledger!$A$6:$A$205,$L130)),"—")</f>
        <v>0</v>
      </c>
      <c r="C131" s="1" t="n">
        <f aca="false">IFERROR(IF($L130="","",INDEX(Ledger!$B$6:$B$205,$L130)),"—")</f>
        <v>0</v>
      </c>
      <c r="D131" s="1" t="n">
        <f aca="false">IFERROR(IF($L130="","",INDEX(Ledger!$C$6:$C$205,$L130)),"—")</f>
        <v>0</v>
      </c>
      <c r="E131" s="1" t="n">
        <f aca="false">IFERROR(IF($L130="","",INDEX(Ledger!$D$6:$D$205,$L130)),"—")</f>
        <v>0</v>
      </c>
      <c r="F131" s="1" t="n">
        <f aca="false">IFERROR(IF($L130="","",INDEX(Ledger!$E$6:$E$205,$L130)),"—")</f>
        <v>0</v>
      </c>
      <c r="G131" s="143" t="n">
        <f aca="false">IFERROR(IF($L130="","",INDEX(Ledger!$F$6:$F$205,$L130)),"—")</f>
        <v>0</v>
      </c>
      <c r="H131" s="143" t="n">
        <f aca="false">IFERROR(IF($L130="","",INDEX(Ledger!$G$6:$G$205,$L130)),"—")</f>
        <v>0</v>
      </c>
      <c r="I131" s="1" t="str">
        <f aca="false">IFERROR(IF($L130="","",INDEX(Ledger!$H$6:$H$205,$L130)),"—")</f>
        <v/>
      </c>
      <c r="J131" s="4"/>
      <c r="K131" s="4"/>
      <c r="L131" s="122" t="n">
        <f aca="false">IFERROR(SMALL(IF((Ledger!$D$6:$D$205=$C$4)*IF($C$5="All Years",1,YEAR(Ledger!$A$6:$A$205)=IF($C$5="All Years",0,VALUE($C$5))),ROW(Ledger!$D$6:$D$205)-ROW(Ledger!$D$6)+1),91),"")</f>
        <v>91</v>
      </c>
      <c r="M131" s="4"/>
    </row>
    <row r="132" customFormat="false" ht="19.5" hidden="false" customHeight="true" outlineLevel="0" collapsed="false">
      <c r="A132" s="1" t="n">
        <f aca="false">IF($L131="","",91)</f>
        <v>91</v>
      </c>
      <c r="B132" s="142" t="n">
        <f aca="false">IFERROR(IF($L131="","",INDEX(Ledger!$A$6:$A$205,$L131)),"—")</f>
        <v>0</v>
      </c>
      <c r="C132" s="1" t="n">
        <f aca="false">IFERROR(IF($L131="","",INDEX(Ledger!$B$6:$B$205,$L131)),"—")</f>
        <v>0</v>
      </c>
      <c r="D132" s="1" t="n">
        <f aca="false">IFERROR(IF($L131="","",INDEX(Ledger!$C$6:$C$205,$L131)),"—")</f>
        <v>0</v>
      </c>
      <c r="E132" s="1" t="n">
        <f aca="false">IFERROR(IF($L131="","",INDEX(Ledger!$D$6:$D$205,$L131)),"—")</f>
        <v>0</v>
      </c>
      <c r="F132" s="1" t="n">
        <f aca="false">IFERROR(IF($L131="","",INDEX(Ledger!$E$6:$E$205,$L131)),"—")</f>
        <v>0</v>
      </c>
      <c r="G132" s="143" t="n">
        <f aca="false">IFERROR(IF($L131="","",INDEX(Ledger!$F$6:$F$205,$L131)),"—")</f>
        <v>0</v>
      </c>
      <c r="H132" s="143" t="n">
        <f aca="false">IFERROR(IF($L131="","",INDEX(Ledger!$G$6:$G$205,$L131)),"—")</f>
        <v>0</v>
      </c>
      <c r="I132" s="1" t="str">
        <f aca="false">IFERROR(IF($L131="","",INDEX(Ledger!$H$6:$H$205,$L131)),"—")</f>
        <v/>
      </c>
      <c r="J132" s="4"/>
      <c r="K132" s="4"/>
      <c r="L132" s="122" t="n">
        <f aca="false">IFERROR(SMALL(IF((Ledger!$D$6:$D$205=$C$4)*IF($C$5="All Years",1,YEAR(Ledger!$A$6:$A$205)=IF($C$5="All Years",0,VALUE($C$5))),ROW(Ledger!$D$6:$D$205)-ROW(Ledger!$D$6)+1),92),"")</f>
        <v>92</v>
      </c>
      <c r="M132" s="4"/>
    </row>
    <row r="133" customFormat="false" ht="19.5" hidden="false" customHeight="true" outlineLevel="0" collapsed="false">
      <c r="A133" s="1" t="n">
        <f aca="false">IF($L132="","",92)</f>
        <v>92</v>
      </c>
      <c r="B133" s="142" t="n">
        <f aca="false">IFERROR(IF($L132="","",INDEX(Ledger!$A$6:$A$205,$L132)),"—")</f>
        <v>0</v>
      </c>
      <c r="C133" s="1" t="n">
        <f aca="false">IFERROR(IF($L132="","",INDEX(Ledger!$B$6:$B$205,$L132)),"—")</f>
        <v>0</v>
      </c>
      <c r="D133" s="1" t="n">
        <f aca="false">IFERROR(IF($L132="","",INDEX(Ledger!$C$6:$C$205,$L132)),"—")</f>
        <v>0</v>
      </c>
      <c r="E133" s="1" t="n">
        <f aca="false">IFERROR(IF($L132="","",INDEX(Ledger!$D$6:$D$205,$L132)),"—")</f>
        <v>0</v>
      </c>
      <c r="F133" s="1" t="n">
        <f aca="false">IFERROR(IF($L132="","",INDEX(Ledger!$E$6:$E$205,$L132)),"—")</f>
        <v>0</v>
      </c>
      <c r="G133" s="143" t="n">
        <f aca="false">IFERROR(IF($L132="","",INDEX(Ledger!$F$6:$F$205,$L132)),"—")</f>
        <v>0</v>
      </c>
      <c r="H133" s="143" t="n">
        <f aca="false">IFERROR(IF($L132="","",INDEX(Ledger!$G$6:$G$205,$L132)),"—")</f>
        <v>0</v>
      </c>
      <c r="I133" s="1" t="str">
        <f aca="false">IFERROR(IF($L132="","",INDEX(Ledger!$H$6:$H$205,$L132)),"—")</f>
        <v/>
      </c>
      <c r="J133" s="4"/>
      <c r="K133" s="4"/>
      <c r="L133" s="122" t="n">
        <f aca="false">IFERROR(SMALL(IF((Ledger!$D$6:$D$205=$C$4)*IF($C$5="All Years",1,YEAR(Ledger!$A$6:$A$205)=IF($C$5="All Years",0,VALUE($C$5))),ROW(Ledger!$D$6:$D$205)-ROW(Ledger!$D$6)+1),93),"")</f>
        <v>93</v>
      </c>
      <c r="M133" s="4"/>
    </row>
    <row r="134" customFormat="false" ht="19.5" hidden="false" customHeight="true" outlineLevel="0" collapsed="false">
      <c r="A134" s="1" t="n">
        <f aca="false">IF($L133="","",93)</f>
        <v>93</v>
      </c>
      <c r="B134" s="142" t="n">
        <f aca="false">IFERROR(IF($L133="","",INDEX(Ledger!$A$6:$A$205,$L133)),"—")</f>
        <v>0</v>
      </c>
      <c r="C134" s="1" t="n">
        <f aca="false">IFERROR(IF($L133="","",INDEX(Ledger!$B$6:$B$205,$L133)),"—")</f>
        <v>0</v>
      </c>
      <c r="D134" s="1" t="n">
        <f aca="false">IFERROR(IF($L133="","",INDEX(Ledger!$C$6:$C$205,$L133)),"—")</f>
        <v>0</v>
      </c>
      <c r="E134" s="1" t="n">
        <f aca="false">IFERROR(IF($L133="","",INDEX(Ledger!$D$6:$D$205,$L133)),"—")</f>
        <v>0</v>
      </c>
      <c r="F134" s="1" t="n">
        <f aca="false">IFERROR(IF($L133="","",INDEX(Ledger!$E$6:$E$205,$L133)),"—")</f>
        <v>0</v>
      </c>
      <c r="G134" s="143" t="n">
        <f aca="false">IFERROR(IF($L133="","",INDEX(Ledger!$F$6:$F$205,$L133)),"—")</f>
        <v>0</v>
      </c>
      <c r="H134" s="143" t="n">
        <f aca="false">IFERROR(IF($L133="","",INDEX(Ledger!$G$6:$G$205,$L133)),"—")</f>
        <v>0</v>
      </c>
      <c r="I134" s="1" t="str">
        <f aca="false">IFERROR(IF($L133="","",INDEX(Ledger!$H$6:$H$205,$L133)),"—")</f>
        <v/>
      </c>
      <c r="J134" s="4"/>
      <c r="K134" s="4"/>
      <c r="L134" s="122" t="n">
        <f aca="false">IFERROR(SMALL(IF((Ledger!$D$6:$D$205=$C$4)*IF($C$5="All Years",1,YEAR(Ledger!$A$6:$A$205)=IF($C$5="All Years",0,VALUE($C$5))),ROW(Ledger!$D$6:$D$205)-ROW(Ledger!$D$6)+1),94),"")</f>
        <v>94</v>
      </c>
      <c r="M134" s="4"/>
    </row>
    <row r="135" customFormat="false" ht="19.5" hidden="false" customHeight="true" outlineLevel="0" collapsed="false">
      <c r="A135" s="1" t="n">
        <f aca="false">IF($L134="","",94)</f>
        <v>94</v>
      </c>
      <c r="B135" s="142" t="n">
        <f aca="false">IFERROR(IF($L134="","",INDEX(Ledger!$A$6:$A$205,$L134)),"—")</f>
        <v>0</v>
      </c>
      <c r="C135" s="1" t="n">
        <f aca="false">IFERROR(IF($L134="","",INDEX(Ledger!$B$6:$B$205,$L134)),"—")</f>
        <v>0</v>
      </c>
      <c r="D135" s="1" t="n">
        <f aca="false">IFERROR(IF($L134="","",INDEX(Ledger!$C$6:$C$205,$L134)),"—")</f>
        <v>0</v>
      </c>
      <c r="E135" s="1" t="n">
        <f aca="false">IFERROR(IF($L134="","",INDEX(Ledger!$D$6:$D$205,$L134)),"—")</f>
        <v>0</v>
      </c>
      <c r="F135" s="1" t="n">
        <f aca="false">IFERROR(IF($L134="","",INDEX(Ledger!$E$6:$E$205,$L134)),"—")</f>
        <v>0</v>
      </c>
      <c r="G135" s="143" t="n">
        <f aca="false">IFERROR(IF($L134="","",INDEX(Ledger!$F$6:$F$205,$L134)),"—")</f>
        <v>0</v>
      </c>
      <c r="H135" s="143" t="n">
        <f aca="false">IFERROR(IF($L134="","",INDEX(Ledger!$G$6:$G$205,$L134)),"—")</f>
        <v>0</v>
      </c>
      <c r="I135" s="1" t="str">
        <f aca="false">IFERROR(IF($L134="","",INDEX(Ledger!$H$6:$H$205,$L134)),"—")</f>
        <v/>
      </c>
      <c r="J135" s="4"/>
      <c r="K135" s="4"/>
      <c r="L135" s="122" t="n">
        <f aca="false">IFERROR(SMALL(IF((Ledger!$D$6:$D$205=$C$4)*IF($C$5="All Years",1,YEAR(Ledger!$A$6:$A$205)=IF($C$5="All Years",0,VALUE($C$5))),ROW(Ledger!$D$6:$D$205)-ROW(Ledger!$D$6)+1),95),"")</f>
        <v>95</v>
      </c>
      <c r="M135" s="4"/>
    </row>
    <row r="136" customFormat="false" ht="19.5" hidden="false" customHeight="true" outlineLevel="0" collapsed="false">
      <c r="A136" s="1" t="n">
        <f aca="false">IF($L135="","",95)</f>
        <v>95</v>
      </c>
      <c r="B136" s="142" t="n">
        <f aca="false">IFERROR(IF($L135="","",INDEX(Ledger!$A$6:$A$205,$L135)),"—")</f>
        <v>0</v>
      </c>
      <c r="C136" s="1" t="n">
        <f aca="false">IFERROR(IF($L135="","",INDEX(Ledger!$B$6:$B$205,$L135)),"—")</f>
        <v>0</v>
      </c>
      <c r="D136" s="1" t="n">
        <f aca="false">IFERROR(IF($L135="","",INDEX(Ledger!$C$6:$C$205,$L135)),"—")</f>
        <v>0</v>
      </c>
      <c r="E136" s="1" t="n">
        <f aca="false">IFERROR(IF($L135="","",INDEX(Ledger!$D$6:$D$205,$L135)),"—")</f>
        <v>0</v>
      </c>
      <c r="F136" s="1" t="n">
        <f aca="false">IFERROR(IF($L135="","",INDEX(Ledger!$E$6:$E$205,$L135)),"—")</f>
        <v>0</v>
      </c>
      <c r="G136" s="143" t="n">
        <f aca="false">IFERROR(IF($L135="","",INDEX(Ledger!$F$6:$F$205,$L135)),"—")</f>
        <v>0</v>
      </c>
      <c r="H136" s="143" t="n">
        <f aca="false">IFERROR(IF($L135="","",INDEX(Ledger!$G$6:$G$205,$L135)),"—")</f>
        <v>0</v>
      </c>
      <c r="I136" s="1" t="str">
        <f aca="false">IFERROR(IF($L135="","",INDEX(Ledger!$H$6:$H$205,$L135)),"—")</f>
        <v/>
      </c>
      <c r="J136" s="4"/>
      <c r="K136" s="4"/>
      <c r="L136" s="122" t="n">
        <f aca="false">IFERROR(SMALL(IF((Ledger!$D$6:$D$205=$C$4)*IF($C$5="All Years",1,YEAR(Ledger!$A$6:$A$205)=IF($C$5="All Years",0,VALUE($C$5))),ROW(Ledger!$D$6:$D$205)-ROW(Ledger!$D$6)+1),96),"")</f>
        <v>96</v>
      </c>
      <c r="M136" s="4"/>
    </row>
    <row r="137" customFormat="false" ht="19.5" hidden="false" customHeight="true" outlineLevel="0" collapsed="false">
      <c r="A137" s="1" t="n">
        <f aca="false">IF($L136="","",96)</f>
        <v>96</v>
      </c>
      <c r="B137" s="142" t="n">
        <f aca="false">IFERROR(IF($L136="","",INDEX(Ledger!$A$6:$A$205,$L136)),"—")</f>
        <v>0</v>
      </c>
      <c r="C137" s="1" t="n">
        <f aca="false">IFERROR(IF($L136="","",INDEX(Ledger!$B$6:$B$205,$L136)),"—")</f>
        <v>0</v>
      </c>
      <c r="D137" s="1" t="n">
        <f aca="false">IFERROR(IF($L136="","",INDEX(Ledger!$C$6:$C$205,$L136)),"—")</f>
        <v>0</v>
      </c>
      <c r="E137" s="1" t="n">
        <f aca="false">IFERROR(IF($L136="","",INDEX(Ledger!$D$6:$D$205,$L136)),"—")</f>
        <v>0</v>
      </c>
      <c r="F137" s="1" t="n">
        <f aca="false">IFERROR(IF($L136="","",INDEX(Ledger!$E$6:$E$205,$L136)),"—")</f>
        <v>0</v>
      </c>
      <c r="G137" s="143" t="n">
        <f aca="false">IFERROR(IF($L136="","",INDEX(Ledger!$F$6:$F$205,$L136)),"—")</f>
        <v>0</v>
      </c>
      <c r="H137" s="143" t="n">
        <f aca="false">IFERROR(IF($L136="","",INDEX(Ledger!$G$6:$G$205,$L136)),"—")</f>
        <v>0</v>
      </c>
      <c r="I137" s="1" t="str">
        <f aca="false">IFERROR(IF($L136="","",INDEX(Ledger!$H$6:$H$205,$L136)),"—")</f>
        <v/>
      </c>
      <c r="J137" s="4"/>
      <c r="K137" s="4"/>
      <c r="L137" s="122" t="n">
        <f aca="false">IFERROR(SMALL(IF((Ledger!$D$6:$D$205=$C$4)*IF($C$5="All Years",1,YEAR(Ledger!$A$6:$A$205)=IF($C$5="All Years",0,VALUE($C$5))),ROW(Ledger!$D$6:$D$205)-ROW(Ledger!$D$6)+1),97),"")</f>
        <v>97</v>
      </c>
      <c r="M137" s="4"/>
    </row>
    <row r="138" customFormat="false" ht="19.5" hidden="false" customHeight="true" outlineLevel="0" collapsed="false">
      <c r="A138" s="1" t="n">
        <f aca="false">IF($L137="","",97)</f>
        <v>97</v>
      </c>
      <c r="B138" s="142" t="n">
        <f aca="false">IFERROR(IF($L137="","",INDEX(Ledger!$A$6:$A$205,$L137)),"—")</f>
        <v>0</v>
      </c>
      <c r="C138" s="1" t="n">
        <f aca="false">IFERROR(IF($L137="","",INDEX(Ledger!$B$6:$B$205,$L137)),"—")</f>
        <v>0</v>
      </c>
      <c r="D138" s="1" t="n">
        <f aca="false">IFERROR(IF($L137="","",INDEX(Ledger!$C$6:$C$205,$L137)),"—")</f>
        <v>0</v>
      </c>
      <c r="E138" s="1" t="n">
        <f aca="false">IFERROR(IF($L137="","",INDEX(Ledger!$D$6:$D$205,$L137)),"—")</f>
        <v>0</v>
      </c>
      <c r="F138" s="1" t="n">
        <f aca="false">IFERROR(IF($L137="","",INDEX(Ledger!$E$6:$E$205,$L137)),"—")</f>
        <v>0</v>
      </c>
      <c r="G138" s="143" t="n">
        <f aca="false">IFERROR(IF($L137="","",INDEX(Ledger!$F$6:$F$205,$L137)),"—")</f>
        <v>0</v>
      </c>
      <c r="H138" s="143" t="n">
        <f aca="false">IFERROR(IF($L137="","",INDEX(Ledger!$G$6:$G$205,$L137)),"—")</f>
        <v>0</v>
      </c>
      <c r="I138" s="1" t="str">
        <f aca="false">IFERROR(IF($L137="","",INDEX(Ledger!$H$6:$H$205,$L137)),"—")</f>
        <v/>
      </c>
      <c r="J138" s="4"/>
      <c r="K138" s="4"/>
      <c r="L138" s="122" t="n">
        <f aca="false">IFERROR(SMALL(IF((Ledger!$D$6:$D$205=$C$4)*IF($C$5="All Years",1,YEAR(Ledger!$A$6:$A$205)=IF($C$5="All Years",0,VALUE($C$5))),ROW(Ledger!$D$6:$D$205)-ROW(Ledger!$D$6)+1),98),"")</f>
        <v>98</v>
      </c>
      <c r="M138" s="4"/>
    </row>
    <row r="139" customFormat="false" ht="19.5" hidden="false" customHeight="true" outlineLevel="0" collapsed="false">
      <c r="A139" s="1" t="n">
        <f aca="false">IF($L138="","",98)</f>
        <v>98</v>
      </c>
      <c r="B139" s="142" t="n">
        <f aca="false">IFERROR(IF($L138="","",INDEX(Ledger!$A$6:$A$205,$L138)),"—")</f>
        <v>0</v>
      </c>
      <c r="C139" s="1" t="n">
        <f aca="false">IFERROR(IF($L138="","",INDEX(Ledger!$B$6:$B$205,$L138)),"—")</f>
        <v>0</v>
      </c>
      <c r="D139" s="1" t="n">
        <f aca="false">IFERROR(IF($L138="","",INDEX(Ledger!$C$6:$C$205,$L138)),"—")</f>
        <v>0</v>
      </c>
      <c r="E139" s="1" t="n">
        <f aca="false">IFERROR(IF($L138="","",INDEX(Ledger!$D$6:$D$205,$L138)),"—")</f>
        <v>0</v>
      </c>
      <c r="F139" s="1" t="n">
        <f aca="false">IFERROR(IF($L138="","",INDEX(Ledger!$E$6:$E$205,$L138)),"—")</f>
        <v>0</v>
      </c>
      <c r="G139" s="143" t="n">
        <f aca="false">IFERROR(IF($L138="","",INDEX(Ledger!$F$6:$F$205,$L138)),"—")</f>
        <v>0</v>
      </c>
      <c r="H139" s="143" t="n">
        <f aca="false">IFERROR(IF($L138="","",INDEX(Ledger!$G$6:$G$205,$L138)),"—")</f>
        <v>0</v>
      </c>
      <c r="I139" s="1" t="str">
        <f aca="false">IFERROR(IF($L138="","",INDEX(Ledger!$H$6:$H$205,$L138)),"—")</f>
        <v/>
      </c>
      <c r="J139" s="4"/>
      <c r="K139" s="4"/>
      <c r="L139" s="122" t="n">
        <f aca="false">IFERROR(SMALL(IF((Ledger!$D$6:$D$205=$C$4)*IF($C$5="All Years",1,YEAR(Ledger!$A$6:$A$205)=IF($C$5="All Years",0,VALUE($C$5))),ROW(Ledger!$D$6:$D$205)-ROW(Ledger!$D$6)+1),99),"")</f>
        <v>99</v>
      </c>
      <c r="M139" s="4"/>
    </row>
    <row r="140" customFormat="false" ht="19.5" hidden="false" customHeight="true" outlineLevel="0" collapsed="false">
      <c r="A140" s="1" t="n">
        <f aca="false">IF($L139="","",99)</f>
        <v>99</v>
      </c>
      <c r="B140" s="142" t="n">
        <f aca="false">IFERROR(IF($L139="","",INDEX(Ledger!$A$6:$A$205,$L139)),"—")</f>
        <v>0</v>
      </c>
      <c r="C140" s="1" t="n">
        <f aca="false">IFERROR(IF($L139="","",INDEX(Ledger!$B$6:$B$205,$L139)),"—")</f>
        <v>0</v>
      </c>
      <c r="D140" s="1" t="n">
        <f aca="false">IFERROR(IF($L139="","",INDEX(Ledger!$C$6:$C$205,$L139)),"—")</f>
        <v>0</v>
      </c>
      <c r="E140" s="1" t="n">
        <f aca="false">IFERROR(IF($L139="","",INDEX(Ledger!$D$6:$D$205,$L139)),"—")</f>
        <v>0</v>
      </c>
      <c r="F140" s="1" t="n">
        <f aca="false">IFERROR(IF($L139="","",INDEX(Ledger!$E$6:$E$205,$L139)),"—")</f>
        <v>0</v>
      </c>
      <c r="G140" s="143" t="n">
        <f aca="false">IFERROR(IF($L139="","",INDEX(Ledger!$F$6:$F$205,$L139)),"—")</f>
        <v>0</v>
      </c>
      <c r="H140" s="143" t="n">
        <f aca="false">IFERROR(IF($L139="","",INDEX(Ledger!$G$6:$G$205,$L139)),"—")</f>
        <v>0</v>
      </c>
      <c r="I140" s="1" t="str">
        <f aca="false">IFERROR(IF($L139="","",INDEX(Ledger!$H$6:$H$205,$L139)),"—")</f>
        <v/>
      </c>
      <c r="J140" s="4"/>
      <c r="K140" s="4"/>
      <c r="L140" s="122" t="n">
        <f aca="false">IFERROR(SMALL(IF((Ledger!$D$6:$D$205=$C$4)*IF($C$5="All Years",1,YEAR(Ledger!$A$6:$A$205)=IF($C$5="All Years",0,VALUE($C$5))),ROW(Ledger!$D$6:$D$205)-ROW(Ledger!$D$6)+1),100),"")</f>
        <v>100</v>
      </c>
      <c r="M140" s="4"/>
    </row>
    <row r="141" customFormat="false" ht="25.5" hidden="false" customHeight="true" outlineLevel="0" collapsed="false">
      <c r="A141" s="144" t="n">
        <f aca="false">IF($L140="","",100)</f>
        <v>100</v>
      </c>
      <c r="B141" s="144"/>
      <c r="C141" s="144"/>
      <c r="D141" s="144"/>
      <c r="E141" s="144"/>
      <c r="F141" s="144"/>
      <c r="G141" s="143" t="n">
        <f aca="false">IFERROR(IF($L140="","",INDEX(Ledger!$F$6:$F$205,$L140)),"—")</f>
        <v>0</v>
      </c>
      <c r="H141" s="143" t="n">
        <f aca="false">IFERROR(IF($L140="","",INDEX(Ledger!$G$6:$G$205,$L140)),"—")</f>
        <v>0</v>
      </c>
      <c r="I141" s="1" t="str">
        <f aca="false">IFERROR(IF($L140="","",INDEX(Ledger!$H$6:$H$205,$L140)),"—")</f>
        <v/>
      </c>
      <c r="J141" s="4"/>
      <c r="K141" s="4"/>
      <c r="L141" s="122"/>
      <c r="M141" s="4"/>
    </row>
    <row r="142" customFormat="false" ht="18" hidden="false" customHeight="true" outlineLevel="0" collapsed="false">
      <c r="A142" s="145" t="s">
        <v>237</v>
      </c>
      <c r="B142" s="145"/>
      <c r="C142" s="145"/>
      <c r="D142" s="145"/>
      <c r="E142" s="145"/>
      <c r="F142" s="145"/>
      <c r="G142" s="145"/>
      <c r="H142" s="145"/>
      <c r="I142" s="145"/>
      <c r="J142" s="4"/>
      <c r="K142" s="4"/>
      <c r="L142" s="4"/>
      <c r="M142" s="4"/>
    </row>
    <row r="143" customFormat="false" ht="15" hidden="false" customHeight="true" outlineLevel="0" collapsed="false">
      <c r="A143" s="146" t="s">
        <v>238</v>
      </c>
      <c r="B143" s="4"/>
      <c r="C143" s="4"/>
      <c r="D143" s="4"/>
      <c r="E143" s="4"/>
      <c r="F143" s="4"/>
      <c r="G143" s="4"/>
      <c r="H143" s="4"/>
      <c r="I143" s="4"/>
      <c r="J143" s="4"/>
      <c r="K143" s="4"/>
      <c r="L143" s="4"/>
      <c r="M143" s="4"/>
    </row>
    <row r="144" customFormat="false" ht="15" hidden="false" customHeight="true" outlineLevel="0" collapsed="false">
      <c r="A144" s="4"/>
      <c r="B144" s="4"/>
      <c r="C144" s="4"/>
      <c r="D144" s="4"/>
      <c r="E144" s="4"/>
      <c r="F144" s="4"/>
      <c r="G144" s="4"/>
      <c r="H144" s="4"/>
      <c r="I144" s="4"/>
      <c r="J144" s="4"/>
      <c r="K144" s="4"/>
      <c r="L144" s="4"/>
      <c r="M144" s="4"/>
    </row>
    <row r="145" customFormat="false" ht="15" hidden="false" customHeight="true" outlineLevel="0" collapsed="false">
      <c r="A145" s="4"/>
      <c r="B145" s="4"/>
      <c r="C145" s="4"/>
      <c r="D145" s="4"/>
      <c r="E145" s="4"/>
      <c r="F145" s="4"/>
      <c r="G145" s="4"/>
      <c r="H145" s="4"/>
      <c r="I145" s="4"/>
      <c r="J145" s="4"/>
      <c r="K145" s="4"/>
      <c r="L145" s="4"/>
      <c r="M145" s="4"/>
    </row>
    <row r="146" customFormat="false" ht="25.5" hidden="false" customHeight="true" outlineLevel="0" collapsed="false">
      <c r="A146" s="145" t="s">
        <v>239</v>
      </c>
      <c r="B146" s="145"/>
      <c r="C146" s="145"/>
      <c r="D146" s="145"/>
      <c r="E146" s="145"/>
      <c r="F146" s="145"/>
      <c r="G146" s="145"/>
      <c r="H146" s="145"/>
      <c r="I146" s="145"/>
      <c r="J146" s="4"/>
      <c r="K146" s="4"/>
      <c r="L146" s="4"/>
      <c r="M146" s="4"/>
    </row>
    <row r="147" customFormat="false" ht="21.75" hidden="false" customHeight="true" outlineLevel="0" collapsed="false">
      <c r="A147" s="147" t="s">
        <v>240</v>
      </c>
      <c r="B147" s="147"/>
      <c r="C147" s="147"/>
      <c r="D147" s="147" t="s">
        <v>241</v>
      </c>
      <c r="E147" s="147"/>
      <c r="F147" s="147" t="s">
        <v>242</v>
      </c>
      <c r="G147" s="147"/>
      <c r="H147" s="147" t="s">
        <v>243</v>
      </c>
      <c r="I147" s="147"/>
      <c r="J147" s="4"/>
      <c r="K147" s="4"/>
      <c r="L147" s="4"/>
      <c r="M147" s="4"/>
    </row>
    <row r="148" customFormat="false" ht="19.5" hidden="false" customHeight="true" outlineLevel="0" collapsed="false">
      <c r="A148" s="148" t="str">
        <f aca="false">IF(Settings!$D$5="","",Settings!$D$5)</f>
        <v>Remitly</v>
      </c>
      <c r="B148" s="148"/>
      <c r="C148" s="148"/>
      <c r="D148" s="149" t="n">
        <f aca="false">IF(Settings!$D$5="","",SUMIF(Ledger!$C$6:$C$205,Settings!$D$5,Ledger!$F$6:$F$205))</f>
        <v>0</v>
      </c>
      <c r="E148" s="149"/>
      <c r="F148" s="150" t="n">
        <f aca="false">IF(Settings!$D$5="","",SUMIF(Ledger!$C$6:$C$205,Settings!$D$5,Ledger!$G$6:$G$205))</f>
        <v>0</v>
      </c>
      <c r="G148" s="150"/>
      <c r="H148" s="151" t="n">
        <f aca="false">IF(Settings!$D$5="","",COUNTIF(Ledger!$C$6:$C$205,Settings!$D$5))</f>
        <v>0</v>
      </c>
      <c r="I148" s="151"/>
      <c r="J148" s="4"/>
      <c r="K148" s="4"/>
      <c r="L148" s="4"/>
      <c r="M148" s="4"/>
    </row>
    <row r="149" customFormat="false" ht="19.5" hidden="false" customHeight="true" outlineLevel="0" collapsed="false">
      <c r="A149" s="152" t="str">
        <f aca="false">IF(Settings!$D$6="","",Settings!$D$6)</f>
        <v>Western Union</v>
      </c>
      <c r="B149" s="152"/>
      <c r="C149" s="152"/>
      <c r="D149" s="153" t="n">
        <f aca="false">IF(Settings!$D$6="","",SUMIF(Ledger!$C$6:$C$205,Settings!$D$6,Ledger!$F$6:$F$205))</f>
        <v>0</v>
      </c>
      <c r="E149" s="153"/>
      <c r="F149" s="154" t="n">
        <f aca="false">IF(Settings!$D$6="","",SUMIF(Ledger!$C$6:$C$205,Settings!$D$6,Ledger!$G$6:$G$205))</f>
        <v>0</v>
      </c>
      <c r="G149" s="154"/>
      <c r="H149" s="155" t="n">
        <f aca="false">IF(Settings!$D$6="","",COUNTIF(Ledger!$C$6:$C$205,Settings!$D$6))</f>
        <v>0</v>
      </c>
      <c r="I149" s="155"/>
      <c r="J149" s="4"/>
      <c r="K149" s="4"/>
      <c r="L149" s="4"/>
      <c r="M149" s="4"/>
    </row>
    <row r="150" customFormat="false" ht="19.5" hidden="false" customHeight="true" outlineLevel="0" collapsed="false">
      <c r="A150" s="148" t="str">
        <f aca="false">IF(Settings!$D$7="","",Settings!$D$7)</f>
        <v>Wise (TransferWise)</v>
      </c>
      <c r="B150" s="148"/>
      <c r="C150" s="148"/>
      <c r="D150" s="149" t="n">
        <f aca="false">IF(Settings!$D$7="","",SUMIF(Ledger!$C$6:$C$205,Settings!$D$7,Ledger!$F$6:$F$205))</f>
        <v>0</v>
      </c>
      <c r="E150" s="149"/>
      <c r="F150" s="150" t="n">
        <f aca="false">IF(Settings!$D$7="","",SUMIF(Ledger!$C$6:$C$205,Settings!$D$7,Ledger!$G$6:$G$205))</f>
        <v>0</v>
      </c>
      <c r="G150" s="150"/>
      <c r="H150" s="151" t="n">
        <f aca="false">IF(Settings!$D$7="","",COUNTIF(Ledger!$C$6:$C$205,Settings!$D$7))</f>
        <v>0</v>
      </c>
      <c r="I150" s="151"/>
      <c r="J150" s="4"/>
      <c r="K150" s="4"/>
      <c r="L150" s="4"/>
      <c r="M150" s="4"/>
    </row>
    <row r="151" customFormat="false" ht="19.5" hidden="false" customHeight="true" outlineLevel="0" collapsed="false">
      <c r="A151" s="152" t="str">
        <f aca="false">IF(Settings!$D$8="","",Settings!$D$8)</f>
        <v>PayPal</v>
      </c>
      <c r="B151" s="152"/>
      <c r="C151" s="152"/>
      <c r="D151" s="153" t="n">
        <f aca="false">IF(Settings!$D$8="","",SUMIF(Ledger!$C$6:$C$205,Settings!$D$8,Ledger!$F$6:$F$205))</f>
        <v>0</v>
      </c>
      <c r="E151" s="153"/>
      <c r="F151" s="154" t="n">
        <f aca="false">IF(Settings!$D$8="","",SUMIF(Ledger!$C$6:$C$205,Settings!$D$8,Ledger!$G$6:$G$205))</f>
        <v>0</v>
      </c>
      <c r="G151" s="154"/>
      <c r="H151" s="155" t="n">
        <f aca="false">IF(Settings!$D$8="","",COUNTIF(Ledger!$C$6:$C$205,Settings!$D$8))</f>
        <v>0</v>
      </c>
      <c r="I151" s="155"/>
      <c r="J151" s="4"/>
      <c r="K151" s="4"/>
      <c r="L151" s="4"/>
      <c r="M151" s="4"/>
    </row>
    <row r="152" customFormat="false" ht="19.5" hidden="false" customHeight="true" outlineLevel="0" collapsed="false">
      <c r="A152" s="148" t="str">
        <f aca="false">IF(Settings!$D$9="","",Settings!$D$9)</f>
        <v>Zelle</v>
      </c>
      <c r="B152" s="148"/>
      <c r="C152" s="148"/>
      <c r="D152" s="149" t="n">
        <f aca="false">IF(Settings!$D$9="","",SUMIF(Ledger!$C$6:$C$205,Settings!$D$9,Ledger!$F$6:$F$205))</f>
        <v>0</v>
      </c>
      <c r="E152" s="149"/>
      <c r="F152" s="150" t="n">
        <f aca="false">IF(Settings!$D$9="","",SUMIF(Ledger!$C$6:$C$205,Settings!$D$9,Ledger!$G$6:$G$205))</f>
        <v>0</v>
      </c>
      <c r="G152" s="150"/>
      <c r="H152" s="151" t="n">
        <f aca="false">IF(Settings!$D$9="","",COUNTIF(Ledger!$C$6:$C$205,Settings!$D$9))</f>
        <v>0</v>
      </c>
      <c r="I152" s="151"/>
      <c r="J152" s="4"/>
      <c r="K152" s="4"/>
      <c r="L152" s="4"/>
      <c r="M152" s="4"/>
    </row>
    <row r="153" customFormat="false" ht="19.5" hidden="false" customHeight="true" outlineLevel="0" collapsed="false">
      <c r="A153" s="152" t="str">
        <f aca="false">IF(Settings!$D$10="","",Settings!$D$10)</f>
        <v>Bank Transfer</v>
      </c>
      <c r="B153" s="152"/>
      <c r="C153" s="152"/>
      <c r="D153" s="153" t="n">
        <f aca="false">IF(Settings!$D$10="","",SUMIF(Ledger!$C$6:$C$205,Settings!$D$10,Ledger!$F$6:$F$205))</f>
        <v>0</v>
      </c>
      <c r="E153" s="153"/>
      <c r="F153" s="154" t="n">
        <f aca="false">IF(Settings!$D$10="","",SUMIF(Ledger!$C$6:$C$205,Settings!$D$10,Ledger!$G$6:$G$205))</f>
        <v>0</v>
      </c>
      <c r="G153" s="154"/>
      <c r="H153" s="155" t="n">
        <f aca="false">IF(Settings!$D$10="","",COUNTIF(Ledger!$C$6:$C$205,Settings!$D$10))</f>
        <v>0</v>
      </c>
      <c r="I153" s="155"/>
      <c r="J153" s="4"/>
      <c r="K153" s="4"/>
      <c r="L153" s="4"/>
      <c r="M153" s="4"/>
    </row>
    <row r="154" customFormat="false" ht="19.5" hidden="false" customHeight="true" outlineLevel="0" collapsed="false">
      <c r="A154" s="148" t="str">
        <f aca="false">IF(Settings!$D$11="","",Settings!$D$11)</f>
        <v>Cash</v>
      </c>
      <c r="B154" s="148"/>
      <c r="C154" s="148"/>
      <c r="D154" s="149" t="n">
        <f aca="false">IF(Settings!$D$11="","",SUMIF(Ledger!$C$6:$C$205,Settings!$D$11,Ledger!$F$6:$F$205))</f>
        <v>0</v>
      </c>
      <c r="E154" s="149"/>
      <c r="F154" s="150" t="n">
        <f aca="false">IF(Settings!$D$11="","",SUMIF(Ledger!$C$6:$C$205,Settings!$D$11,Ledger!$G$6:$G$205))</f>
        <v>0</v>
      </c>
      <c r="G154" s="150"/>
      <c r="H154" s="151" t="n">
        <f aca="false">IF(Settings!$D$11="","",COUNTIF(Ledger!$C$6:$C$205,Settings!$D$11))</f>
        <v>0</v>
      </c>
      <c r="I154" s="151"/>
      <c r="J154" s="4"/>
      <c r="K154" s="4"/>
      <c r="L154" s="4"/>
      <c r="M154" s="4"/>
    </row>
    <row r="155" customFormat="false" ht="19.5" hidden="false" customHeight="true" outlineLevel="0" collapsed="false">
      <c r="A155" s="152" t="str">
        <f aca="false">IF(Settings!$D$12="","",Settings!$D$12)</f>
        <v>Check</v>
      </c>
      <c r="B155" s="152"/>
      <c r="C155" s="152"/>
      <c r="D155" s="153" t="n">
        <f aca="false">IF(Settings!$D$12="","",SUMIF(Ledger!$C$6:$C$205,Settings!$D$12,Ledger!$F$6:$F$205))</f>
        <v>0</v>
      </c>
      <c r="E155" s="153"/>
      <c r="F155" s="154" t="n">
        <f aca="false">IF(Settings!$D$12="","",SUMIF(Ledger!$C$6:$C$205,Settings!$D$12,Ledger!$G$6:$G$205))</f>
        <v>0</v>
      </c>
      <c r="G155" s="154"/>
      <c r="H155" s="155" t="n">
        <f aca="false">IF(Settings!$D$12="","",COUNTIF(Ledger!$C$6:$C$205,Settings!$D$12))</f>
        <v>0</v>
      </c>
      <c r="I155" s="155"/>
      <c r="J155" s="4"/>
      <c r="K155" s="4"/>
      <c r="L155" s="4"/>
      <c r="M155" s="4"/>
    </row>
    <row r="156" customFormat="false" ht="19.5" hidden="false" customHeight="true" outlineLevel="0" collapsed="false">
      <c r="A156" s="148" t="str">
        <f aca="false">IF(Settings!$D$13="","",Settings!$D$13)</f>
        <v>Venmo</v>
      </c>
      <c r="B156" s="148"/>
      <c r="C156" s="148"/>
      <c r="D156" s="149" t="n">
        <f aca="false">IF(Settings!$D$13="","",SUMIF(Ledger!$C$6:$C$205,Settings!$D$13,Ledger!$F$6:$F$205))</f>
        <v>0</v>
      </c>
      <c r="E156" s="149"/>
      <c r="F156" s="150" t="n">
        <f aca="false">IF(Settings!$D$13="","",SUMIF(Ledger!$C$6:$C$205,Settings!$D$13,Ledger!$G$6:$G$205))</f>
        <v>0</v>
      </c>
      <c r="G156" s="150"/>
      <c r="H156" s="151" t="n">
        <f aca="false">IF(Settings!$D$13="","",COUNTIF(Ledger!$C$6:$C$205,Settings!$D$13))</f>
        <v>0</v>
      </c>
      <c r="I156" s="151"/>
      <c r="J156" s="4"/>
      <c r="K156" s="4"/>
      <c r="L156" s="4"/>
      <c r="M156" s="4"/>
    </row>
    <row r="157" customFormat="false" ht="19.5" hidden="false" customHeight="true" outlineLevel="0" collapsed="false">
      <c r="A157" s="152" t="str">
        <f aca="false">IF(Settings!$D$14="","",Settings!$D$14)</f>
        <v>CashApp</v>
      </c>
      <c r="B157" s="152"/>
      <c r="C157" s="152"/>
      <c r="D157" s="153" t="n">
        <f aca="false">IF(Settings!$D$14="","",SUMIF(Ledger!$C$6:$C$205,Settings!$D$14,Ledger!$F$6:$F$205))</f>
        <v>0</v>
      </c>
      <c r="E157" s="153"/>
      <c r="F157" s="154" t="n">
        <f aca="false">IF(Settings!$D$14="","",SUMIF(Ledger!$C$6:$C$205,Settings!$D$14,Ledger!$G$6:$G$205))</f>
        <v>0</v>
      </c>
      <c r="G157" s="154"/>
      <c r="H157" s="155" t="n">
        <f aca="false">IF(Settings!$D$14="","",COUNTIF(Ledger!$C$6:$C$205,Settings!$D$14))</f>
        <v>0</v>
      </c>
      <c r="I157" s="155"/>
      <c r="J157" s="4"/>
      <c r="K157" s="4"/>
      <c r="L157" s="4"/>
      <c r="M157" s="4"/>
    </row>
    <row r="158" customFormat="false" ht="19.5" hidden="false" customHeight="true" outlineLevel="0" collapsed="false">
      <c r="A158" s="148" t="str">
        <f aca="false">IF(Settings!$D$15="","",Settings!$D$15)</f>
        <v>MoneyGram</v>
      </c>
      <c r="B158" s="148"/>
      <c r="C158" s="148"/>
      <c r="D158" s="149" t="n">
        <f aca="false">IF(Settings!$D$15="","",SUMIF(Ledger!$C$6:$C$205,Settings!$D$15,Ledger!$F$6:$F$205))</f>
        <v>0</v>
      </c>
      <c r="E158" s="149"/>
      <c r="F158" s="150" t="n">
        <f aca="false">IF(Settings!$D$15="","",SUMIF(Ledger!$C$6:$C$205,Settings!$D$15,Ledger!$G$6:$G$205))</f>
        <v>0</v>
      </c>
      <c r="G158" s="150"/>
      <c r="H158" s="151" t="n">
        <f aca="false">IF(Settings!$D$15="","",COUNTIF(Ledger!$C$6:$C$205,Settings!$D$15))</f>
        <v>0</v>
      </c>
      <c r="I158" s="151"/>
      <c r="J158" s="4"/>
      <c r="K158" s="4"/>
      <c r="L158" s="4"/>
      <c r="M158" s="4"/>
    </row>
    <row r="159" customFormat="false" ht="19.5" hidden="false" customHeight="true" outlineLevel="0" collapsed="false">
      <c r="A159" s="152" t="str">
        <f aca="false">IF(Settings!$D$16="","",Settings!$D$16)</f>
        <v>Other</v>
      </c>
      <c r="B159" s="152"/>
      <c r="C159" s="152"/>
      <c r="D159" s="153" t="n">
        <f aca="false">IF(Settings!$D$16="","",SUMIF(Ledger!$C$6:$C$205,Settings!$D$16,Ledger!$F$6:$F$205))</f>
        <v>0</v>
      </c>
      <c r="E159" s="153"/>
      <c r="F159" s="154" t="n">
        <f aca="false">IF(Settings!$D$16="","",SUMIF(Ledger!$C$6:$C$205,Settings!$D$16,Ledger!$G$6:$G$205))</f>
        <v>0</v>
      </c>
      <c r="G159" s="154"/>
      <c r="H159" s="155" t="n">
        <f aca="false">IF(Settings!$D$16="","",COUNTIF(Ledger!$C$6:$C$205,Settings!$D$16))</f>
        <v>0</v>
      </c>
      <c r="I159" s="155"/>
      <c r="J159" s="4"/>
      <c r="K159" s="4"/>
      <c r="L159" s="4"/>
      <c r="M159" s="4"/>
    </row>
    <row r="160" customFormat="false" ht="19.5" hidden="false" customHeight="true" outlineLevel="0" collapsed="false">
      <c r="A160" s="148" t="str">
        <f aca="false">IF(Settings!$D$17="","",Settings!$D$17)</f>
        <v/>
      </c>
      <c r="B160" s="148"/>
      <c r="C160" s="148"/>
      <c r="D160" s="149" t="str">
        <f aca="false">IF(Settings!$D$17="","",SUMIF(Ledger!$C$6:$C$205,Settings!$D$17,Ledger!$F$6:$F$205))</f>
        <v/>
      </c>
      <c r="E160" s="149"/>
      <c r="F160" s="150" t="str">
        <f aca="false">IF(Settings!$D$17="","",SUMIF(Ledger!$C$6:$C$205,Settings!$D$17,Ledger!$G$6:$G$205))</f>
        <v/>
      </c>
      <c r="G160" s="150"/>
      <c r="H160" s="151" t="str">
        <f aca="false">IF(Settings!$D$17="","",COUNTIF(Ledger!$C$6:$C$205,Settings!$D$17))</f>
        <v/>
      </c>
      <c r="I160" s="151"/>
      <c r="J160" s="4"/>
      <c r="K160" s="4"/>
      <c r="L160" s="4"/>
      <c r="M160" s="4"/>
    </row>
    <row r="161" customFormat="false" ht="19.5" hidden="false" customHeight="true" outlineLevel="0" collapsed="false">
      <c r="A161" s="152" t="str">
        <f aca="false">IF(Settings!$D$18="","",Settings!$D$18)</f>
        <v/>
      </c>
      <c r="B161" s="152"/>
      <c r="C161" s="152"/>
      <c r="D161" s="153" t="str">
        <f aca="false">IF(Settings!$D$18="","",SUMIF(Ledger!$C$6:$C$205,Settings!$D$18,Ledger!$F$6:$F$205))</f>
        <v/>
      </c>
      <c r="E161" s="153"/>
      <c r="F161" s="154" t="str">
        <f aca="false">IF(Settings!$D$18="","",SUMIF(Ledger!$C$6:$C$205,Settings!$D$18,Ledger!$G$6:$G$205))</f>
        <v/>
      </c>
      <c r="G161" s="154"/>
      <c r="H161" s="155" t="str">
        <f aca="false">IF(Settings!$D$18="","",COUNTIF(Ledger!$C$6:$C$205,Settings!$D$18))</f>
        <v/>
      </c>
      <c r="I161" s="155"/>
      <c r="J161" s="4"/>
      <c r="K161" s="4"/>
      <c r="L161" s="4"/>
      <c r="M161" s="4"/>
    </row>
    <row r="162" customFormat="false" ht="19.5" hidden="false" customHeight="true" outlineLevel="0" collapsed="false">
      <c r="A162" s="148" t="str">
        <f aca="false">IF(Settings!$D$19="","",Settings!$D$19)</f>
        <v/>
      </c>
      <c r="B162" s="148"/>
      <c r="C162" s="148"/>
      <c r="D162" s="149" t="str">
        <f aca="false">IF(Settings!$D$19="","",SUMIF(Ledger!$C$6:$C$205,Settings!$D$19,Ledger!$F$6:$F$205))</f>
        <v/>
      </c>
      <c r="E162" s="149"/>
      <c r="F162" s="150" t="str">
        <f aca="false">IF(Settings!$D$19="","",SUMIF(Ledger!$C$6:$C$205,Settings!$D$19,Ledger!$G$6:$G$205))</f>
        <v/>
      </c>
      <c r="G162" s="150"/>
      <c r="H162" s="151" t="str">
        <f aca="false">IF(Settings!$D$19="","",COUNTIF(Ledger!$C$6:$C$205,Settings!$D$19))</f>
        <v/>
      </c>
      <c r="I162" s="151"/>
      <c r="J162" s="4"/>
      <c r="K162" s="4"/>
      <c r="L162" s="4"/>
      <c r="M162" s="4"/>
    </row>
    <row r="163" customFormat="false" ht="19.5" hidden="false" customHeight="true" outlineLevel="0" collapsed="false">
      <c r="A163" s="152" t="str">
        <f aca="false">IF(Settings!$D$20="","",Settings!$D$20)</f>
        <v/>
      </c>
      <c r="B163" s="152"/>
      <c r="C163" s="152"/>
      <c r="D163" s="153" t="str">
        <f aca="false">IF(Settings!$D$20="","",SUMIF(Ledger!$C$6:$C$205,Settings!$D$20,Ledger!$F$6:$F$205))</f>
        <v/>
      </c>
      <c r="E163" s="153"/>
      <c r="F163" s="154" t="str">
        <f aca="false">IF(Settings!$D$20="","",SUMIF(Ledger!$C$6:$C$205,Settings!$D$20,Ledger!$G$6:$G$205))</f>
        <v/>
      </c>
      <c r="G163" s="154"/>
      <c r="H163" s="155" t="str">
        <f aca="false">IF(Settings!$D$20="","",COUNTIF(Ledger!$C$6:$C$205,Settings!$D$20))</f>
        <v/>
      </c>
      <c r="I163" s="155"/>
      <c r="J163" s="4"/>
      <c r="K163" s="4"/>
      <c r="L163" s="4"/>
      <c r="M163" s="4"/>
    </row>
    <row r="164" customFormat="false" ht="19.5" hidden="false" customHeight="true" outlineLevel="0" collapsed="false">
      <c r="A164" s="148" t="str">
        <f aca="false">IF(Settings!$D$21="","",Settings!$D$21)</f>
        <v/>
      </c>
      <c r="B164" s="148"/>
      <c r="C164" s="148"/>
      <c r="D164" s="149" t="str">
        <f aca="false">IF(Settings!$D$21="","",SUMIF(Ledger!$C$6:$C$205,Settings!$D$21,Ledger!$F$6:$F$205))</f>
        <v/>
      </c>
      <c r="E164" s="149"/>
      <c r="F164" s="150" t="str">
        <f aca="false">IF(Settings!$D$21="","",SUMIF(Ledger!$C$6:$C$205,Settings!$D$21,Ledger!$G$6:$G$205))</f>
        <v/>
      </c>
      <c r="G164" s="150"/>
      <c r="H164" s="151" t="str">
        <f aca="false">IF(Settings!$D$21="","",COUNTIF(Ledger!$C$6:$C$205,Settings!$D$21))</f>
        <v/>
      </c>
      <c r="I164" s="151"/>
      <c r="J164" s="4"/>
      <c r="K164" s="4"/>
      <c r="L164" s="4"/>
      <c r="M164" s="4"/>
    </row>
    <row r="165" customFormat="false" ht="19.5" hidden="false" customHeight="true" outlineLevel="0" collapsed="false">
      <c r="A165" s="152" t="str">
        <f aca="false">IF(Settings!$D$22="","",Settings!$D$22)</f>
        <v/>
      </c>
      <c r="B165" s="152"/>
      <c r="C165" s="152"/>
      <c r="D165" s="153" t="str">
        <f aca="false">IF(Settings!$D$22="","",SUMIF(Ledger!$C$6:$C$205,Settings!$D$22,Ledger!$F$6:$F$205))</f>
        <v/>
      </c>
      <c r="E165" s="153"/>
      <c r="F165" s="154" t="str">
        <f aca="false">IF(Settings!$D$22="","",SUMIF(Ledger!$C$6:$C$205,Settings!$D$22,Ledger!$G$6:$G$205))</f>
        <v/>
      </c>
      <c r="G165" s="154"/>
      <c r="H165" s="155" t="str">
        <f aca="false">IF(Settings!$D$22="","",COUNTIF(Ledger!$C$6:$C$205,Settings!$D$22))</f>
        <v/>
      </c>
      <c r="I165" s="155"/>
      <c r="J165" s="4"/>
      <c r="K165" s="4"/>
      <c r="L165" s="4"/>
      <c r="M165" s="4"/>
    </row>
    <row r="166" customFormat="false" ht="19.5" hidden="false" customHeight="true" outlineLevel="0" collapsed="false">
      <c r="A166" s="148" t="str">
        <f aca="false">IF(Settings!$D$23="","",Settings!$D$23)</f>
        <v/>
      </c>
      <c r="B166" s="148"/>
      <c r="C166" s="148"/>
      <c r="D166" s="149" t="str">
        <f aca="false">IF(Settings!$D$23="","",SUMIF(Ledger!$C$6:$C$205,Settings!$D$23,Ledger!$F$6:$F$205))</f>
        <v/>
      </c>
      <c r="E166" s="149"/>
      <c r="F166" s="150" t="str">
        <f aca="false">IF(Settings!$D$23="","",SUMIF(Ledger!$C$6:$C$205,Settings!$D$23,Ledger!$G$6:$G$205))</f>
        <v/>
      </c>
      <c r="G166" s="150"/>
      <c r="H166" s="151" t="str">
        <f aca="false">IF(Settings!$D$23="","",COUNTIF(Ledger!$C$6:$C$205,Settings!$D$23))</f>
        <v/>
      </c>
      <c r="I166" s="151"/>
      <c r="J166" s="4"/>
      <c r="K166" s="4"/>
      <c r="L166" s="4"/>
      <c r="M166" s="4"/>
    </row>
    <row r="167" customFormat="false" ht="19.5" hidden="false" customHeight="true" outlineLevel="0" collapsed="false">
      <c r="A167" s="152" t="str">
        <f aca="false">IF(Settings!$D$24="","",Settings!$D$24)</f>
        <v/>
      </c>
      <c r="B167" s="152"/>
      <c r="C167" s="152"/>
      <c r="D167" s="153" t="str">
        <f aca="false">IF(Settings!$D$24="","",SUMIF(Ledger!$C$6:$C$205,Settings!$D$24,Ledger!$F$6:$F$205))</f>
        <v/>
      </c>
      <c r="E167" s="153"/>
      <c r="F167" s="154" t="str">
        <f aca="false">IF(Settings!$D$24="","",SUMIF(Ledger!$C$6:$C$205,Settings!$D$24,Ledger!$G$6:$G$205))</f>
        <v/>
      </c>
      <c r="G167" s="154"/>
      <c r="H167" s="155" t="str">
        <f aca="false">IF(Settings!$D$24="","",COUNTIF(Ledger!$C$6:$C$205,Settings!$D$24))</f>
        <v/>
      </c>
      <c r="I167" s="155"/>
      <c r="J167" s="4"/>
      <c r="K167" s="4"/>
      <c r="L167" s="4"/>
      <c r="M167" s="4"/>
    </row>
    <row r="168" customFormat="false" ht="19.5" hidden="false" customHeight="true" outlineLevel="0" collapsed="false">
      <c r="A168" s="148" t="str">
        <f aca="false">IF(Settings!$D$25="","",Settings!$D$25)</f>
        <v/>
      </c>
      <c r="B168" s="148"/>
      <c r="C168" s="148"/>
      <c r="D168" s="149" t="str">
        <f aca="false">IF(Settings!$D$25="","",SUMIF(Ledger!$C$6:$C$205,Settings!$D$25,Ledger!$F$6:$F$205))</f>
        <v/>
      </c>
      <c r="E168" s="149"/>
      <c r="F168" s="150" t="str">
        <f aca="false">IF(Settings!$D$25="","",SUMIF(Ledger!$C$6:$C$205,Settings!$D$25,Ledger!$G$6:$G$205))</f>
        <v/>
      </c>
      <c r="G168" s="150"/>
      <c r="H168" s="151" t="str">
        <f aca="false">IF(Settings!$D$25="","",COUNTIF(Ledger!$C$6:$C$205,Settings!$D$25))</f>
        <v/>
      </c>
      <c r="I168" s="151"/>
      <c r="J168" s="4"/>
      <c r="K168" s="4"/>
      <c r="L168" s="4"/>
      <c r="M168" s="4"/>
    </row>
    <row r="169" customFormat="false" ht="19.5" hidden="false" customHeight="true" outlineLevel="0" collapsed="false">
      <c r="A169" s="152" t="str">
        <f aca="false">IF(Settings!$D$26="","",Settings!$D$26)</f>
        <v/>
      </c>
      <c r="B169" s="152"/>
      <c r="C169" s="152"/>
      <c r="D169" s="153" t="str">
        <f aca="false">IF(Settings!$D$26="","",SUMIF(Ledger!$C$6:$C$205,Settings!$D$26,Ledger!$F$6:$F$205))</f>
        <v/>
      </c>
      <c r="E169" s="153"/>
      <c r="F169" s="154" t="str">
        <f aca="false">IF(Settings!$D$26="","",SUMIF(Ledger!$C$6:$C$205,Settings!$D$26,Ledger!$G$6:$G$205))</f>
        <v/>
      </c>
      <c r="G169" s="154"/>
      <c r="H169" s="155" t="str">
        <f aca="false">IF(Settings!$D$26="","",COUNTIF(Ledger!$C$6:$C$205,Settings!$D$26))</f>
        <v/>
      </c>
      <c r="I169" s="155"/>
      <c r="J169" s="4"/>
      <c r="K169" s="4"/>
      <c r="L169" s="4"/>
      <c r="M169" s="4"/>
    </row>
    <row r="170" customFormat="false" ht="19.5" hidden="false" customHeight="true" outlineLevel="0" collapsed="false">
      <c r="A170" s="148" t="str">
        <f aca="false">IF(Settings!$D$27="","",Settings!$D$27)</f>
        <v/>
      </c>
      <c r="B170" s="148"/>
      <c r="C170" s="148"/>
      <c r="D170" s="149" t="str">
        <f aca="false">IF(Settings!$D$27="","",SUMIF(Ledger!$C$6:$C$205,Settings!$D$27,Ledger!$F$6:$F$205))</f>
        <v/>
      </c>
      <c r="E170" s="149"/>
      <c r="F170" s="150" t="str">
        <f aca="false">IF(Settings!$D$27="","",SUMIF(Ledger!$C$6:$C$205,Settings!$D$27,Ledger!$G$6:$G$205))</f>
        <v/>
      </c>
      <c r="G170" s="150"/>
      <c r="H170" s="151" t="str">
        <f aca="false">IF(Settings!$D$27="","",COUNTIF(Ledger!$C$6:$C$205,Settings!$D$27))</f>
        <v/>
      </c>
      <c r="I170" s="151"/>
      <c r="J170" s="4"/>
      <c r="K170" s="4"/>
      <c r="L170" s="4"/>
      <c r="M170" s="4"/>
    </row>
    <row r="171" customFormat="false" ht="19.5" hidden="false" customHeight="true" outlineLevel="0" collapsed="false">
      <c r="A171" s="152" t="str">
        <f aca="false">IF(Settings!$D$28="","",Settings!$D$28)</f>
        <v/>
      </c>
      <c r="B171" s="152"/>
      <c r="C171" s="152"/>
      <c r="D171" s="153" t="str">
        <f aca="false">IF(Settings!$D$28="","",SUMIF(Ledger!$C$6:$C$205,Settings!$D$28,Ledger!$F$6:$F$205))</f>
        <v/>
      </c>
      <c r="E171" s="153"/>
      <c r="F171" s="154" t="str">
        <f aca="false">IF(Settings!$D$28="","",SUMIF(Ledger!$C$6:$C$205,Settings!$D$28,Ledger!$G$6:$G$205))</f>
        <v/>
      </c>
      <c r="G171" s="154"/>
      <c r="H171" s="155" t="str">
        <f aca="false">IF(Settings!$D$28="","",COUNTIF(Ledger!$C$6:$C$205,Settings!$D$28))</f>
        <v/>
      </c>
      <c r="I171" s="155"/>
      <c r="J171" s="4"/>
      <c r="K171" s="4"/>
      <c r="L171" s="4"/>
      <c r="M171" s="4"/>
    </row>
    <row r="172" customFormat="false" ht="19.5" hidden="false" customHeight="true" outlineLevel="0" collapsed="false">
      <c r="A172" s="148" t="str">
        <f aca="false">IF(Settings!$D$29="","",Settings!$D$29)</f>
        <v/>
      </c>
      <c r="B172" s="148"/>
      <c r="C172" s="148"/>
      <c r="D172" s="149" t="str">
        <f aca="false">IF(Settings!$D$29="","",SUMIF(Ledger!$C$6:$C$205,Settings!$D$29,Ledger!$F$6:$F$205))</f>
        <v/>
      </c>
      <c r="E172" s="149"/>
      <c r="F172" s="150" t="str">
        <f aca="false">IF(Settings!$D$29="","",SUMIF(Ledger!$C$6:$C$205,Settings!$D$29,Ledger!$G$6:$G$205))</f>
        <v/>
      </c>
      <c r="G172" s="150"/>
      <c r="H172" s="151" t="str">
        <f aca="false">IF(Settings!$D$29="","",COUNTIF(Ledger!$C$6:$C$205,Settings!$D$29))</f>
        <v/>
      </c>
      <c r="I172" s="151"/>
      <c r="J172" s="4"/>
      <c r="K172" s="4"/>
      <c r="L172" s="4"/>
      <c r="M172" s="4"/>
    </row>
    <row r="173" customFormat="false" ht="19.5" hidden="false" customHeight="true" outlineLevel="0" collapsed="false">
      <c r="A173" s="152" t="str">
        <f aca="false">IF(Settings!$D$30="","",Settings!$D$30)</f>
        <v/>
      </c>
      <c r="B173" s="152"/>
      <c r="C173" s="152"/>
      <c r="D173" s="153" t="str">
        <f aca="false">IF(Settings!$D$30="","",SUMIF(Ledger!$C$6:$C$205,Settings!$D$30,Ledger!$F$6:$F$205))</f>
        <v/>
      </c>
      <c r="E173" s="153"/>
      <c r="F173" s="154" t="str">
        <f aca="false">IF(Settings!$D$30="","",SUMIF(Ledger!$C$6:$C$205,Settings!$D$30,Ledger!$G$6:$G$205))</f>
        <v/>
      </c>
      <c r="G173" s="154"/>
      <c r="H173" s="155" t="str">
        <f aca="false">IF(Settings!$D$30="","",COUNTIF(Ledger!$C$6:$C$205,Settings!$D$30))</f>
        <v/>
      </c>
      <c r="I173" s="155"/>
      <c r="J173" s="4"/>
      <c r="K173" s="4"/>
      <c r="L173" s="4"/>
      <c r="M173" s="4"/>
    </row>
    <row r="174" customFormat="false" ht="19.5" hidden="false" customHeight="true" outlineLevel="0" collapsed="false">
      <c r="A174" s="148" t="str">
        <f aca="false">IF(Settings!$D$31="","",Settings!$D$31)</f>
        <v/>
      </c>
      <c r="B174" s="148"/>
      <c r="C174" s="148"/>
      <c r="D174" s="149" t="str">
        <f aca="false">IF(Settings!$D$31="","",SUMIF(Ledger!$C$6:$C$205,Settings!$D$31,Ledger!$F$6:$F$205))</f>
        <v/>
      </c>
      <c r="E174" s="149"/>
      <c r="F174" s="150" t="str">
        <f aca="false">IF(Settings!$D$31="","",SUMIF(Ledger!$C$6:$C$205,Settings!$D$31,Ledger!$G$6:$G$205))</f>
        <v/>
      </c>
      <c r="G174" s="150"/>
      <c r="H174" s="151" t="str">
        <f aca="false">IF(Settings!$D$31="","",COUNTIF(Ledger!$C$6:$C$205,Settings!$D$31))</f>
        <v/>
      </c>
      <c r="I174" s="151"/>
      <c r="J174" s="4"/>
      <c r="K174" s="4"/>
      <c r="L174" s="4"/>
      <c r="M174" s="4"/>
    </row>
    <row r="175" customFormat="false" ht="19.5" hidden="false" customHeight="true" outlineLevel="0" collapsed="false">
      <c r="A175" s="152" t="str">
        <f aca="false">IF(Settings!$D$32="","",Settings!$D$32)</f>
        <v/>
      </c>
      <c r="B175" s="152"/>
      <c r="C175" s="152"/>
      <c r="D175" s="153" t="str">
        <f aca="false">IF(Settings!$D$32="","",SUMIF(Ledger!$C$6:$C$205,Settings!$D$32,Ledger!$F$6:$F$205))</f>
        <v/>
      </c>
      <c r="E175" s="153"/>
      <c r="F175" s="154" t="str">
        <f aca="false">IF(Settings!$D$32="","",SUMIF(Ledger!$C$6:$C$205,Settings!$D$32,Ledger!$G$6:$G$205))</f>
        <v/>
      </c>
      <c r="G175" s="154"/>
      <c r="H175" s="155" t="str">
        <f aca="false">IF(Settings!$D$32="","",COUNTIF(Ledger!$C$6:$C$205,Settings!$D$32))</f>
        <v/>
      </c>
      <c r="I175" s="155"/>
      <c r="J175" s="4"/>
      <c r="K175" s="4"/>
      <c r="L175" s="4"/>
      <c r="M175" s="4"/>
    </row>
    <row r="176" customFormat="false" ht="19.5" hidden="false" customHeight="true" outlineLevel="0" collapsed="false">
      <c r="A176" s="148" t="str">
        <f aca="false">IF(Settings!$D$33="","",Settings!$D$33)</f>
        <v/>
      </c>
      <c r="B176" s="148"/>
      <c r="C176" s="148"/>
      <c r="D176" s="149" t="str">
        <f aca="false">IF(Settings!$D$33="","",SUMIF(Ledger!$C$6:$C$205,Settings!$D$33,Ledger!$F$6:$F$205))</f>
        <v/>
      </c>
      <c r="E176" s="149"/>
      <c r="F176" s="150" t="str">
        <f aca="false">IF(Settings!$D$33="","",SUMIF(Ledger!$C$6:$C$205,Settings!$D$33,Ledger!$G$6:$G$205))</f>
        <v/>
      </c>
      <c r="G176" s="150"/>
      <c r="H176" s="151" t="str">
        <f aca="false">IF(Settings!$D$33="","",COUNTIF(Ledger!$C$6:$C$205,Settings!$D$33))</f>
        <v/>
      </c>
      <c r="I176" s="151"/>
      <c r="J176" s="4"/>
      <c r="K176" s="4"/>
      <c r="L176" s="4"/>
      <c r="M176" s="4"/>
    </row>
    <row r="177" customFormat="false" ht="19.5" hidden="false" customHeight="true" outlineLevel="0" collapsed="false">
      <c r="A177" s="152" t="str">
        <f aca="false">IF(Settings!$D$34="","",Settings!$D$34)</f>
        <v/>
      </c>
      <c r="B177" s="152"/>
      <c r="C177" s="152"/>
      <c r="D177" s="153" t="str">
        <f aca="false">IF(Settings!$D$34="","",SUMIF(Ledger!$C$6:$C$205,Settings!$D$34,Ledger!$F$6:$F$205))</f>
        <v/>
      </c>
      <c r="E177" s="153"/>
      <c r="F177" s="154" t="str">
        <f aca="false">IF(Settings!$D$34="","",SUMIF(Ledger!$C$6:$C$205,Settings!$D$34,Ledger!$G$6:$G$205))</f>
        <v/>
      </c>
      <c r="G177" s="154"/>
      <c r="H177" s="155" t="str">
        <f aca="false">IF(Settings!$D$34="","",COUNTIF(Ledger!$C$6:$C$205,Settings!$D$34))</f>
        <v/>
      </c>
      <c r="I177" s="155"/>
      <c r="J177" s="4"/>
      <c r="K177" s="4"/>
      <c r="L177" s="4"/>
      <c r="M177" s="4"/>
    </row>
  </sheetData>
  <mergeCells count="197">
    <mergeCell ref="A1:I1"/>
    <mergeCell ref="A2:I2"/>
    <mergeCell ref="A4:B4"/>
    <mergeCell ref="D4:E4"/>
    <mergeCell ref="F4:G4"/>
    <mergeCell ref="A5:B5"/>
    <mergeCell ref="D5:I5"/>
    <mergeCell ref="A6:I6"/>
    <mergeCell ref="A7:E7"/>
    <mergeCell ref="F7:I7"/>
    <mergeCell ref="A8:E8"/>
    <mergeCell ref="F8:I8"/>
    <mergeCell ref="A9:E9"/>
    <mergeCell ref="F9:I9"/>
    <mergeCell ref="A10:E10"/>
    <mergeCell ref="F10:I10"/>
    <mergeCell ref="A11:E11"/>
    <mergeCell ref="F11:I11"/>
    <mergeCell ref="A12:E12"/>
    <mergeCell ref="F12:I12"/>
    <mergeCell ref="A13:E13"/>
    <mergeCell ref="F13:I13"/>
    <mergeCell ref="A14:E14"/>
    <mergeCell ref="F14:I14"/>
    <mergeCell ref="A15:E15"/>
    <mergeCell ref="F15:I15"/>
    <mergeCell ref="A16:E16"/>
    <mergeCell ref="F16:I16"/>
    <mergeCell ref="A17:E17"/>
    <mergeCell ref="F17:I17"/>
    <mergeCell ref="A18:E18"/>
    <mergeCell ref="F18:I18"/>
    <mergeCell ref="A19:E19"/>
    <mergeCell ref="F19:I19"/>
    <mergeCell ref="A20:E20"/>
    <mergeCell ref="F20:I20"/>
    <mergeCell ref="A21:E21"/>
    <mergeCell ref="F21:I21"/>
    <mergeCell ref="A22:E22"/>
    <mergeCell ref="F22:I22"/>
    <mergeCell ref="A23:E23"/>
    <mergeCell ref="F23:I23"/>
    <mergeCell ref="A24:E24"/>
    <mergeCell ref="F24:I24"/>
    <mergeCell ref="A25:E25"/>
    <mergeCell ref="F25:I25"/>
    <mergeCell ref="A26:E26"/>
    <mergeCell ref="F26:I26"/>
    <mergeCell ref="A27:E27"/>
    <mergeCell ref="F27:I27"/>
    <mergeCell ref="A28:E28"/>
    <mergeCell ref="F28:I28"/>
    <mergeCell ref="A29:E29"/>
    <mergeCell ref="F29:I29"/>
    <mergeCell ref="A30:E30"/>
    <mergeCell ref="F30:I30"/>
    <mergeCell ref="A31:E31"/>
    <mergeCell ref="F31:I31"/>
    <mergeCell ref="A32:E32"/>
    <mergeCell ref="F32:I32"/>
    <mergeCell ref="A33:E33"/>
    <mergeCell ref="F33:I33"/>
    <mergeCell ref="A34:E34"/>
    <mergeCell ref="F34:I34"/>
    <mergeCell ref="A35:E35"/>
    <mergeCell ref="F35:I35"/>
    <mergeCell ref="A36:E36"/>
    <mergeCell ref="F36:I36"/>
    <mergeCell ref="A37:E37"/>
    <mergeCell ref="F37:I37"/>
    <mergeCell ref="A141:F141"/>
    <mergeCell ref="A142:I142"/>
    <mergeCell ref="A146:I146"/>
    <mergeCell ref="A147:C147"/>
    <mergeCell ref="D147:E147"/>
    <mergeCell ref="F147:G147"/>
    <mergeCell ref="H147:I147"/>
    <mergeCell ref="A148:C148"/>
    <mergeCell ref="D148:E148"/>
    <mergeCell ref="F148:G148"/>
    <mergeCell ref="H148:I148"/>
    <mergeCell ref="A149:C149"/>
    <mergeCell ref="D149:E149"/>
    <mergeCell ref="F149:G149"/>
    <mergeCell ref="H149:I149"/>
    <mergeCell ref="A150:C150"/>
    <mergeCell ref="D150:E150"/>
    <mergeCell ref="F150:G150"/>
    <mergeCell ref="H150:I150"/>
    <mergeCell ref="A151:C151"/>
    <mergeCell ref="D151:E151"/>
    <mergeCell ref="F151:G151"/>
    <mergeCell ref="H151:I151"/>
    <mergeCell ref="A152:C152"/>
    <mergeCell ref="D152:E152"/>
    <mergeCell ref="F152:G152"/>
    <mergeCell ref="H152:I152"/>
    <mergeCell ref="A153:C153"/>
    <mergeCell ref="D153:E153"/>
    <mergeCell ref="F153:G153"/>
    <mergeCell ref="H153:I153"/>
    <mergeCell ref="A154:C154"/>
    <mergeCell ref="D154:E154"/>
    <mergeCell ref="F154:G154"/>
    <mergeCell ref="H154:I154"/>
    <mergeCell ref="A155:C155"/>
    <mergeCell ref="D155:E155"/>
    <mergeCell ref="F155:G155"/>
    <mergeCell ref="H155:I155"/>
    <mergeCell ref="A156:C156"/>
    <mergeCell ref="D156:E156"/>
    <mergeCell ref="F156:G156"/>
    <mergeCell ref="H156:I156"/>
    <mergeCell ref="A157:C157"/>
    <mergeCell ref="D157:E157"/>
    <mergeCell ref="F157:G157"/>
    <mergeCell ref="H157:I157"/>
    <mergeCell ref="A158:C158"/>
    <mergeCell ref="D158:E158"/>
    <mergeCell ref="F158:G158"/>
    <mergeCell ref="H158:I158"/>
    <mergeCell ref="A159:C159"/>
    <mergeCell ref="D159:E159"/>
    <mergeCell ref="F159:G159"/>
    <mergeCell ref="H159:I159"/>
    <mergeCell ref="A160:C160"/>
    <mergeCell ref="D160:E160"/>
    <mergeCell ref="F160:G160"/>
    <mergeCell ref="H160:I160"/>
    <mergeCell ref="A161:C161"/>
    <mergeCell ref="D161:E161"/>
    <mergeCell ref="F161:G161"/>
    <mergeCell ref="H161:I161"/>
    <mergeCell ref="A162:C162"/>
    <mergeCell ref="D162:E162"/>
    <mergeCell ref="F162:G162"/>
    <mergeCell ref="H162:I162"/>
    <mergeCell ref="A163:C163"/>
    <mergeCell ref="D163:E163"/>
    <mergeCell ref="F163:G163"/>
    <mergeCell ref="H163:I163"/>
    <mergeCell ref="A164:C164"/>
    <mergeCell ref="D164:E164"/>
    <mergeCell ref="F164:G164"/>
    <mergeCell ref="H164:I164"/>
    <mergeCell ref="A165:C165"/>
    <mergeCell ref="D165:E165"/>
    <mergeCell ref="F165:G165"/>
    <mergeCell ref="H165:I165"/>
    <mergeCell ref="A166:C166"/>
    <mergeCell ref="D166:E166"/>
    <mergeCell ref="F166:G166"/>
    <mergeCell ref="H166:I166"/>
    <mergeCell ref="A167:C167"/>
    <mergeCell ref="D167:E167"/>
    <mergeCell ref="F167:G167"/>
    <mergeCell ref="H167:I167"/>
    <mergeCell ref="A168:C168"/>
    <mergeCell ref="D168:E168"/>
    <mergeCell ref="F168:G168"/>
    <mergeCell ref="H168:I168"/>
    <mergeCell ref="A169:C169"/>
    <mergeCell ref="D169:E169"/>
    <mergeCell ref="F169:G169"/>
    <mergeCell ref="H169:I169"/>
    <mergeCell ref="A170:C170"/>
    <mergeCell ref="D170:E170"/>
    <mergeCell ref="F170:G170"/>
    <mergeCell ref="H170:I170"/>
    <mergeCell ref="A171:C171"/>
    <mergeCell ref="D171:E171"/>
    <mergeCell ref="F171:G171"/>
    <mergeCell ref="H171:I171"/>
    <mergeCell ref="A172:C172"/>
    <mergeCell ref="D172:E172"/>
    <mergeCell ref="F172:G172"/>
    <mergeCell ref="H172:I172"/>
    <mergeCell ref="A173:C173"/>
    <mergeCell ref="D173:E173"/>
    <mergeCell ref="F173:G173"/>
    <mergeCell ref="H173:I173"/>
    <mergeCell ref="A174:C174"/>
    <mergeCell ref="D174:E174"/>
    <mergeCell ref="F174:G174"/>
    <mergeCell ref="H174:I174"/>
    <mergeCell ref="A175:C175"/>
    <mergeCell ref="D175:E175"/>
    <mergeCell ref="F175:G175"/>
    <mergeCell ref="H175:I175"/>
    <mergeCell ref="A176:C176"/>
    <mergeCell ref="D176:E176"/>
    <mergeCell ref="F176:G176"/>
    <mergeCell ref="H176:I176"/>
    <mergeCell ref="A177:C177"/>
    <mergeCell ref="D177:E177"/>
    <mergeCell ref="F177:G177"/>
    <mergeCell ref="H177:I177"/>
  </mergeCells>
  <dataValidations count="2">
    <dataValidation allowBlank="true" errorStyle="stop" operator="between" showDropDown="false" showErrorMessage="false" showInputMessage="false" sqref="C4" type="list">
      <formula1>$K$4:$K$53</formula1>
      <formula2>0</formula2>
    </dataValidation>
    <dataValidation allowBlank="true" errorStyle="stop" operator="between" showDropDown="false" showErrorMessage="false" showInputMessage="false" sqref="C5" type="list">
      <formula1>$M$5:$M$24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2026-02-23T06:32:24Z</dcterms:created>
  <dc:creator>openpyxl</dc:creator>
  <dc:description/>
  <dc:language>en-US</dc:language>
  <cp:lastModifiedBy/>
  <dcterms:modified xsi:type="dcterms:W3CDTF">2026-02-25T06:40:06Z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